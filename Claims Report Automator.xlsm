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\Desktop\Kapnick\MESSA\"/>
    </mc:Choice>
  </mc:AlternateContent>
  <xr:revisionPtr revIDLastSave="0" documentId="13_ncr:1_{4FBBDBEB-557F-4B32-B6CB-FF92BF7AAD6F}" xr6:coauthVersionLast="47" xr6:coauthVersionMax="47" xr10:uidLastSave="{00000000-0000-0000-0000-000000000000}"/>
  <bookViews>
    <workbookView xWindow="-120" yWindow="-120" windowWidth="29040" windowHeight="15840" firstSheet="2" activeTab="2" xr2:uid="{D9C8160C-C68B-4907-A862-8D1D986E08A1}"/>
  </bookViews>
  <sheets>
    <sheet name="Vision Claims Paid Template" sheetId="8" state="hidden" r:id="rId1"/>
    <sheet name="Enrollment Template" sheetId="4" state="hidden" r:id="rId2"/>
    <sheet name="MACRO" sheetId="9" r:id="rId3"/>
    <sheet name="CLM25" sheetId="1178" r:id="rId4"/>
    <sheet name="CS" sheetId="1179" r:id="rId5"/>
    <sheet name="MDCLMS" sheetId="1180" r:id="rId6"/>
    <sheet name="RXCLMS" sheetId="1181" r:id="rId7"/>
    <sheet name="VSCLMS" sheetId="1182" r:id="rId8"/>
    <sheet name="Medical Claims" sheetId="1183" r:id="rId9"/>
    <sheet name="Medical Count" sheetId="1184" r:id="rId10"/>
    <sheet name="Medical Per Emp" sheetId="1185" r:id="rId11"/>
    <sheet name="Medical Per Life" sheetId="1186" r:id="rId12"/>
    <sheet name="Medical Unit Cost" sheetId="1187" r:id="rId13"/>
    <sheet name="Rx Claims" sheetId="1188" r:id="rId14"/>
    <sheet name="Rx Per Emp" sheetId="1189" r:id="rId15"/>
    <sheet name="Rx Per Life" sheetId="1190" r:id="rId16"/>
    <sheet name="Vision Claims" sheetId="1191" r:id="rId17"/>
    <sheet name="Vision Count" sheetId="1192" r:id="rId18"/>
    <sheet name="Vision Per Emp" sheetId="1193" r:id="rId19"/>
    <sheet name="Vision Per Life" sheetId="1194" r:id="rId20"/>
    <sheet name="Vision Unit Cost" sheetId="1195" r:id="rId21"/>
    <sheet name="Enrollment" sheetId="1196" r:id="rId22"/>
    <sheet name="Dashboard" sheetId="1197" r:id="rId23"/>
    <sheet name="Dashboard Graphs" sheetId="1198" r:id="rId24"/>
    <sheet name="Medical Graphs" sheetId="1199" r:id="rId25"/>
    <sheet name="Rx Graphs" sheetId="1200" r:id="rId26"/>
    <sheet name="Vision Graphs" sheetId="1201" r:id="rId27"/>
    <sheet name="Rate Renewal" sheetId="2" state="hidden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3" i="2" l="1"/>
  <c r="D53" i="2"/>
  <c r="J52" i="2"/>
  <c r="J54" i="2" s="1"/>
  <c r="K55" i="2" s="1"/>
  <c r="D52" i="2"/>
  <c r="J51" i="2"/>
  <c r="D51" i="2"/>
  <c r="J44" i="2"/>
  <c r="D44" i="2"/>
  <c r="J43" i="2"/>
  <c r="D43" i="2"/>
  <c r="J42" i="2"/>
  <c r="D42" i="2"/>
  <c r="J35" i="2"/>
  <c r="D35" i="2"/>
  <c r="J34" i="2"/>
  <c r="D34" i="2"/>
  <c r="D36" i="2" s="1"/>
  <c r="E37" i="2" s="1"/>
  <c r="J33" i="2"/>
  <c r="D33" i="2"/>
  <c r="V24" i="2"/>
  <c r="P24" i="2"/>
  <c r="J24" i="2"/>
  <c r="D24" i="2"/>
  <c r="V23" i="2"/>
  <c r="P23" i="2"/>
  <c r="J23" i="2"/>
  <c r="D23" i="2"/>
  <c r="V22" i="2"/>
  <c r="V25" i="2" s="1"/>
  <c r="W26" i="2" s="1"/>
  <c r="P22" i="2"/>
  <c r="P25" i="2" s="1"/>
  <c r="Q26" i="2" s="1"/>
  <c r="J22" i="2"/>
  <c r="J25" i="2" s="1"/>
  <c r="K26" i="2" s="1"/>
  <c r="D22" i="2"/>
  <c r="D25" i="2" s="1"/>
  <c r="E26" i="2" s="1"/>
  <c r="V15" i="2"/>
  <c r="P15" i="2"/>
  <c r="J15" i="2"/>
  <c r="D15" i="2"/>
  <c r="V14" i="2"/>
  <c r="P14" i="2"/>
  <c r="J14" i="2"/>
  <c r="D14" i="2"/>
  <c r="V13" i="2"/>
  <c r="V16" i="2" s="1"/>
  <c r="W17" i="2" s="1"/>
  <c r="P13" i="2"/>
  <c r="P16" i="2" s="1"/>
  <c r="Q17" i="2" s="1"/>
  <c r="J13" i="2"/>
  <c r="J16" i="2" s="1"/>
  <c r="K17" i="2" s="1"/>
  <c r="D13" i="2"/>
  <c r="D16" i="2" s="1"/>
  <c r="E17" i="2" s="1"/>
  <c r="B9" i="2"/>
  <c r="V6" i="2"/>
  <c r="P6" i="2"/>
  <c r="J6" i="2"/>
  <c r="D6" i="2"/>
  <c r="V5" i="2"/>
  <c r="P5" i="2"/>
  <c r="J5" i="2"/>
  <c r="D5" i="2"/>
  <c r="V4" i="2"/>
  <c r="V7" i="2" s="1"/>
  <c r="P4" i="2"/>
  <c r="P7" i="2" s="1"/>
  <c r="J4" i="2"/>
  <c r="J7" i="2" s="1"/>
  <c r="D4" i="2"/>
  <c r="D7" i="2" s="1"/>
  <c r="U47" i="8"/>
  <c r="T47" i="8"/>
  <c r="S47" i="8"/>
  <c r="R47" i="8"/>
  <c r="Q47" i="8"/>
  <c r="P47" i="8"/>
  <c r="N47" i="8"/>
  <c r="M47" i="8"/>
  <c r="L47" i="8"/>
  <c r="K47" i="8"/>
  <c r="J47" i="8"/>
  <c r="I47" i="8"/>
  <c r="G47" i="8"/>
  <c r="F47" i="8"/>
  <c r="E47" i="8"/>
  <c r="D47" i="8"/>
  <c r="C47" i="8"/>
  <c r="B47" i="8"/>
  <c r="U46" i="8"/>
  <c r="N46" i="8"/>
  <c r="G46" i="8"/>
  <c r="U45" i="8"/>
  <c r="N45" i="8"/>
  <c r="G45" i="8"/>
  <c r="U44" i="8"/>
  <c r="N44" i="8"/>
  <c r="G44" i="8"/>
  <c r="U43" i="8"/>
  <c r="N43" i="8"/>
  <c r="G43" i="8"/>
  <c r="U42" i="8"/>
  <c r="N42" i="8"/>
  <c r="G42" i="8"/>
  <c r="U41" i="8"/>
  <c r="N41" i="8"/>
  <c r="G41" i="8"/>
  <c r="U40" i="8"/>
  <c r="N40" i="8"/>
  <c r="G40" i="8"/>
  <c r="U39" i="8"/>
  <c r="N39" i="8"/>
  <c r="G39" i="8"/>
  <c r="U38" i="8"/>
  <c r="N38" i="8"/>
  <c r="G38" i="8"/>
  <c r="U37" i="8"/>
  <c r="N37" i="8"/>
  <c r="G37" i="8"/>
  <c r="U36" i="8"/>
  <c r="N36" i="8"/>
  <c r="G36" i="8"/>
  <c r="U35" i="8"/>
  <c r="N35" i="8"/>
  <c r="G35" i="8"/>
  <c r="U31" i="8"/>
  <c r="T31" i="8"/>
  <c r="S31" i="8"/>
  <c r="R31" i="8"/>
  <c r="Q31" i="8"/>
  <c r="P31" i="8"/>
  <c r="N31" i="8"/>
  <c r="M31" i="8"/>
  <c r="L31" i="8"/>
  <c r="K31" i="8"/>
  <c r="J31" i="8"/>
  <c r="I31" i="8"/>
  <c r="G31" i="8"/>
  <c r="F31" i="8"/>
  <c r="E31" i="8"/>
  <c r="D31" i="8"/>
  <c r="C31" i="8"/>
  <c r="B31" i="8"/>
  <c r="N30" i="8"/>
  <c r="G30" i="8"/>
  <c r="N29" i="8"/>
  <c r="G29" i="8"/>
  <c r="N28" i="8"/>
  <c r="G28" i="8"/>
  <c r="N27" i="8"/>
  <c r="G27" i="8"/>
  <c r="N26" i="8"/>
  <c r="G26" i="8"/>
  <c r="N25" i="8"/>
  <c r="G25" i="8"/>
  <c r="N24" i="8"/>
  <c r="G24" i="8"/>
  <c r="N23" i="8"/>
  <c r="G23" i="8"/>
  <c r="N22" i="8"/>
  <c r="G22" i="8"/>
  <c r="N21" i="8"/>
  <c r="G21" i="8"/>
  <c r="N20" i="8"/>
  <c r="G20" i="8"/>
  <c r="U19" i="8"/>
  <c r="N19" i="8"/>
  <c r="G19" i="8"/>
  <c r="U15" i="8"/>
  <c r="T15" i="8"/>
  <c r="S15" i="8"/>
  <c r="R15" i="8"/>
  <c r="Q15" i="8"/>
  <c r="P15" i="8"/>
  <c r="N15" i="8"/>
  <c r="M15" i="8"/>
  <c r="L15" i="8"/>
  <c r="K15" i="8"/>
  <c r="J15" i="8"/>
  <c r="I15" i="8"/>
  <c r="G15" i="8"/>
  <c r="F15" i="8"/>
  <c r="E15" i="8"/>
  <c r="D15" i="8"/>
  <c r="C15" i="8"/>
  <c r="B15" i="8"/>
  <c r="N14" i="8"/>
  <c r="G14" i="8"/>
  <c r="N13" i="8"/>
  <c r="G13" i="8"/>
  <c r="N12" i="8"/>
  <c r="G12" i="8"/>
  <c r="N11" i="8"/>
  <c r="G11" i="8"/>
  <c r="N10" i="8"/>
  <c r="G10" i="8"/>
  <c r="N9" i="8"/>
  <c r="G9" i="8"/>
  <c r="N8" i="8"/>
  <c r="G8" i="8"/>
  <c r="N7" i="8"/>
  <c r="G7" i="8"/>
  <c r="N6" i="8"/>
  <c r="G6" i="8"/>
  <c r="N5" i="8"/>
  <c r="G5" i="8"/>
  <c r="N4" i="8"/>
  <c r="G4" i="8"/>
  <c r="U3" i="8"/>
  <c r="N3" i="8"/>
  <c r="G3" i="8"/>
  <c r="D45" i="2" l="1"/>
  <c r="E46" i="2" s="1"/>
  <c r="B47" i="2" s="1"/>
  <c r="D54" i="2"/>
  <c r="E55" i="2" s="1"/>
  <c r="B56" i="2" s="1"/>
  <c r="J36" i="2"/>
  <c r="K37" i="2" s="1"/>
  <c r="B38" i="2" s="1"/>
  <c r="J45" i="2"/>
  <c r="K46" i="2" s="1"/>
  <c r="B27" i="2"/>
  <c r="B1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414784-992F-4D6F-BB54-E89414ABE9F2}" keepAlive="1" name="Connection" type="5" refreshedVersion="0" background="1">
    <dbPr connection="Provider=Microsoft.Mashup.OleDb.1;Data Source=$Workbook$;Location=MESSA_Project;Extended Properties=&quot;&quot;" commandType="0"/>
  </connection>
  <connection id="2" xr16:uid="{4C3DA3AA-14B3-47E5-8F09-6F2C449DAAF2}" keepAlive="1" name="Connection1" type="5" refreshedVersion="0" background="1">
    <dbPr connection="Provider=Microsoft.Mashup.OleDb.1;Data Source=$Workbook$;Location=MESSA_Project;Extended Properties=&quot;&quot;" commandType="0"/>
  </connection>
  <connection id="3" xr16:uid="{AA10DE1F-9E45-4DA3-9D51-F81AC1305A17}" keepAlive="1" name="Connection10" type="5" refreshedVersion="0" background="1">
    <dbPr connection="Provider=Microsoft.Mashup.OleDb.1;Data Source=$Workbook$;Location=MESSA_Project;Extended Properties=&quot;&quot;" commandType="0"/>
  </connection>
  <connection id="4" xr16:uid="{D78017E6-E37A-4BA5-85E2-596DB171DCFC}" keepAlive="1" name="Connection100" type="5" refreshedVersion="0" background="1">
    <dbPr connection="Provider=Microsoft.Mashup.OleDb.1;Data Source=$Workbook$;Location=MESSA_Project;Extended Properties=&quot;&quot;" commandType="0"/>
  </connection>
  <connection id="5" xr16:uid="{9C80BA2C-5726-4992-8FBA-4B0F4D10C194}" keepAlive="1" name="Connection101" type="5" refreshedVersion="0" background="1">
    <dbPr connection="Provider=Microsoft.Mashup.OleDb.1;Data Source=$Workbook$;Location=MESSA_Project;Extended Properties=&quot;&quot;" commandType="0"/>
  </connection>
  <connection id="6" xr16:uid="{9A826D9C-EAD9-43CA-9EC0-7AD6FAA926BE}" keepAlive="1" name="Connection102" type="5" refreshedVersion="0" background="1">
    <dbPr connection="Provider=Microsoft.Mashup.OleDb.1;Data Source=$Workbook$;Location=MESSA_Project;Extended Properties=&quot;&quot;" commandType="0"/>
  </connection>
  <connection id="7" xr16:uid="{3B86E1FC-7685-48B5-BD62-443312E6E279}" keepAlive="1" name="Connection103" type="5" refreshedVersion="0" background="1">
    <dbPr connection="Provider=Microsoft.Mashup.OleDb.1;Data Source=$Workbook$;Location=MESSA_Project;Extended Properties=&quot;&quot;" commandType="0"/>
  </connection>
  <connection id="8" xr16:uid="{64D1C49B-A43D-445C-A781-3C808AEAB1C9}" keepAlive="1" name="Connection104" type="5" refreshedVersion="0" background="1">
    <dbPr connection="Provider=Microsoft.Mashup.OleDb.1;Data Source=$Workbook$;Location=MESSA_Project;Extended Properties=&quot;&quot;" commandType="0"/>
  </connection>
  <connection id="9" xr16:uid="{D76F896D-BF5A-4DC3-A92E-99945FF23001}" keepAlive="1" name="Connection105" type="5" refreshedVersion="0" background="1">
    <dbPr connection="Provider=Microsoft.Mashup.OleDb.1;Data Source=$Workbook$;Location=MESSA_Project;Extended Properties=&quot;&quot;" commandType="0"/>
  </connection>
  <connection id="10" xr16:uid="{49CAD70B-2EBB-41C7-BE97-842DAC3A9971}" keepAlive="1" name="Connection106" type="5" refreshedVersion="0" background="1">
    <dbPr connection="Provider=Microsoft.Mashup.OleDb.1;Data Source=$Workbook$;Location=MESSA_Project;Extended Properties=&quot;&quot;" commandType="0"/>
  </connection>
  <connection id="11" xr16:uid="{4E14286A-9F8A-44CC-8B89-CCF7F70C1124}" keepAlive="1" name="Connection107" type="5" refreshedVersion="0" background="1">
    <dbPr connection="Provider=Microsoft.Mashup.OleDb.1;Data Source=$Workbook$;Location=MESSA_Project;Extended Properties=&quot;&quot;" commandType="0"/>
  </connection>
  <connection id="12" xr16:uid="{AA2ACAE7-13F3-414F-8993-05C84B188F5A}" keepAlive="1" name="Connection108" type="5" refreshedVersion="0" background="1">
    <dbPr connection="Provider=Microsoft.Mashup.OleDb.1;Data Source=$Workbook$;Location=MESSA_Project;Extended Properties=&quot;&quot;" commandType="0"/>
  </connection>
  <connection id="13" xr16:uid="{9F838B89-AFDA-448B-AFEA-ECBDF2BDEF8D}" keepAlive="1" name="Connection109" type="5" refreshedVersion="0" background="1">
    <dbPr connection="Provider=Microsoft.Mashup.OleDb.1;Data Source=$Workbook$;Location=MESSA_Project;Extended Properties=&quot;&quot;" commandType="0"/>
  </connection>
  <connection id="14" xr16:uid="{83C360BD-931F-48C1-9612-EA07FF9124F6}" keepAlive="1" name="Connection11" type="5" refreshedVersion="0" background="1">
    <dbPr connection="Provider=Microsoft.Mashup.OleDb.1;Data Source=$Workbook$;Location=MESSA_Project;Extended Properties=&quot;&quot;" commandType="0"/>
  </connection>
  <connection id="15" xr16:uid="{EE503BCD-95D3-4F8A-BE92-D5968F354E50}" keepAlive="1" name="Connection110" type="5" refreshedVersion="0" background="1">
    <dbPr connection="Provider=Microsoft.Mashup.OleDb.1;Data Source=$Workbook$;Location=MESSA_Project;Extended Properties=&quot;&quot;" commandType="0"/>
  </connection>
  <connection id="16" xr16:uid="{1FCDD609-518A-4BD5-BD31-EC8B0596343A}" keepAlive="1" name="Connection111" type="5" refreshedVersion="0" background="1">
    <dbPr connection="Provider=Microsoft.Mashup.OleDb.1;Data Source=$Workbook$;Location=MESSA_Project;Extended Properties=&quot;&quot;" commandType="0"/>
  </connection>
  <connection id="17" xr16:uid="{5B466FBB-E646-41B8-8D03-3AE163BF893E}" keepAlive="1" name="Connection112" type="5" refreshedVersion="0" background="1">
    <dbPr connection="Provider=Microsoft.Mashup.OleDb.1;Data Source=$Workbook$;Location=MESSA_Project;Extended Properties=&quot;&quot;" commandType="0"/>
  </connection>
  <connection id="18" xr16:uid="{47FC8051-2EAB-4B9F-91DD-007B6270F484}" keepAlive="1" name="Connection113" type="5" refreshedVersion="0" background="1">
    <dbPr connection="Provider=Microsoft.Mashup.OleDb.1;Data Source=$Workbook$;Location=MESSA_Project;Extended Properties=&quot;&quot;" commandType="0"/>
  </connection>
  <connection id="19" xr16:uid="{81C0CD70-6CCB-48C3-B208-472CCF50D667}" keepAlive="1" name="Connection114" type="5" refreshedVersion="0" background="1">
    <dbPr connection="Provider=Microsoft.Mashup.OleDb.1;Data Source=$Workbook$;Location=MESSA_Project;Extended Properties=&quot;&quot;" commandType="0"/>
  </connection>
  <connection id="20" xr16:uid="{852D2C09-2905-45C7-8FE6-9F12323E4508}" keepAlive="1" name="Connection115" type="5" refreshedVersion="0" background="1">
    <dbPr connection="Provider=Microsoft.Mashup.OleDb.1;Data Source=$Workbook$;Location=MESSA_Project;Extended Properties=&quot;&quot;" commandType="0"/>
  </connection>
  <connection id="21" xr16:uid="{8491A380-22C3-439B-A0CD-9B351498D893}" keepAlive="1" name="Connection116" type="5" refreshedVersion="0" background="1">
    <dbPr connection="Provider=Microsoft.Mashup.OleDb.1;Data Source=$Workbook$;Location=MESSA_Project;Extended Properties=&quot;&quot;" commandType="0"/>
  </connection>
  <connection id="22" xr16:uid="{27920B78-5FFF-4C9D-9126-9E69CE2608B9}" keepAlive="1" name="Connection117" type="5" refreshedVersion="0" background="1">
    <dbPr connection="Provider=Microsoft.Mashup.OleDb.1;Data Source=$Workbook$;Location=MESSA_Project;Extended Properties=&quot;&quot;" commandType="0"/>
  </connection>
  <connection id="23" xr16:uid="{5BD8E391-5A09-4953-A698-32353A3E276E}" keepAlive="1" name="Connection118" type="5" refreshedVersion="0" background="1">
    <dbPr connection="Provider=Microsoft.Mashup.OleDb.1;Data Source=$Workbook$;Location=MESSA_Project;Extended Properties=&quot;&quot;" commandType="0"/>
  </connection>
  <connection id="24" xr16:uid="{D5E6CC88-8EDA-4349-A63A-FD60496274ED}" keepAlive="1" name="Connection119" type="5" refreshedVersion="0" background="1">
    <dbPr connection="Provider=Microsoft.Mashup.OleDb.1;Data Source=$Workbook$;Location=MESSA_Project;Extended Properties=&quot;&quot;" commandType="0"/>
  </connection>
  <connection id="25" xr16:uid="{B74B8AE7-EAD2-4763-BBA4-DEA20C329803}" keepAlive="1" name="Connection12" type="5" refreshedVersion="0" background="1">
    <dbPr connection="Provider=Microsoft.Mashup.OleDb.1;Data Source=$Workbook$;Location=MESSA_Project;Extended Properties=&quot;&quot;" commandType="0"/>
  </connection>
  <connection id="26" xr16:uid="{E25ED8D0-C95C-4DE9-B71A-D4CF3E54A32E}" keepAlive="1" name="Connection120" type="5" refreshedVersion="0" background="1">
    <dbPr connection="Provider=Microsoft.Mashup.OleDb.1;Data Source=$Workbook$;Location=MESSA_Project;Extended Properties=&quot;&quot;" commandType="0"/>
  </connection>
  <connection id="27" xr16:uid="{8AC9AAC5-C241-4423-8740-E5053D4B175C}" keepAlive="1" name="Connection121" type="5" refreshedVersion="0" background="1">
    <dbPr connection="Provider=Microsoft.Mashup.OleDb.1;Data Source=$Workbook$;Location=MESSA_Project;Extended Properties=&quot;&quot;" commandType="0"/>
  </connection>
  <connection id="28" xr16:uid="{2BFEAFE9-D307-4BD9-BDD9-7F824BBF4804}" keepAlive="1" name="Connection122" type="5" refreshedVersion="0" background="1">
    <dbPr connection="Provider=Microsoft.Mashup.OleDb.1;Data Source=$Workbook$;Location=MESSA_Project;Extended Properties=&quot;&quot;" commandType="0"/>
  </connection>
  <connection id="29" xr16:uid="{0CDAFDD9-3D14-493A-97B5-5907A1A3851E}" keepAlive="1" name="Connection123" type="5" refreshedVersion="0" background="1">
    <dbPr connection="Provider=Microsoft.Mashup.OleDb.1;Data Source=$Workbook$;Location=MESSA_Project;Extended Properties=&quot;&quot;" commandType="0"/>
  </connection>
  <connection id="30" xr16:uid="{50895423-C27E-4E72-9737-E73DC40E0D91}" keepAlive="1" name="Connection124" type="5" refreshedVersion="0" background="1">
    <dbPr connection="Provider=Microsoft.Mashup.OleDb.1;Data Source=$Workbook$;Location=MESSA_Project;Extended Properties=&quot;&quot;" commandType="0"/>
  </connection>
  <connection id="31" xr16:uid="{E468F60B-75FF-426C-8D06-8E4E5EDEEBF3}" keepAlive="1" name="Connection125" type="5" refreshedVersion="0" background="1">
    <dbPr connection="Provider=Microsoft.Mashup.OleDb.1;Data Source=$Workbook$;Location=MESSA_Project;Extended Properties=&quot;&quot;" commandType="0"/>
  </connection>
  <connection id="32" xr16:uid="{419C1482-5A21-410E-BE0C-3862B6C8682E}" keepAlive="1" name="Connection126" type="5" refreshedVersion="0" background="1">
    <dbPr connection="Provider=Microsoft.Mashup.OleDb.1;Data Source=$Workbook$;Location=MESSA_Project;Extended Properties=&quot;&quot;" commandType="0"/>
  </connection>
  <connection id="33" xr16:uid="{785EBAE9-C915-498F-8D90-0116146DA513}" keepAlive="1" name="Connection127" type="5" refreshedVersion="0" background="1">
    <dbPr connection="Provider=Microsoft.Mashup.OleDb.1;Data Source=$Workbook$;Location=MESSA_Project;Extended Properties=&quot;&quot;" commandType="0"/>
  </connection>
  <connection id="34" xr16:uid="{C1DBC2E4-935A-41D3-A9DA-666D8227AFB0}" keepAlive="1" name="Connection128" type="5" refreshedVersion="0" background="1">
    <dbPr connection="Provider=Microsoft.Mashup.OleDb.1;Data Source=$Workbook$;Location=MESSA_Project;Extended Properties=&quot;&quot;" commandType="0"/>
  </connection>
  <connection id="35" xr16:uid="{3F87A6D9-FA3A-472A-8D7E-FB48517F27BD}" keepAlive="1" name="Connection129" type="5" refreshedVersion="0" background="1">
    <dbPr connection="Provider=Microsoft.Mashup.OleDb.1;Data Source=$Workbook$;Location=MESSA_Project;Extended Properties=&quot;&quot;" commandType="0"/>
  </connection>
  <connection id="36" xr16:uid="{05D5B38F-287D-4902-94F3-9D65C9880329}" keepAlive="1" name="Connection13" type="5" refreshedVersion="0" background="1">
    <dbPr connection="Provider=Microsoft.Mashup.OleDb.1;Data Source=$Workbook$;Location=MESSA_Project;Extended Properties=&quot;&quot;" commandType="0"/>
  </connection>
  <connection id="37" xr16:uid="{58D67438-709C-4D45-8BE8-8C0EC318E343}" keepAlive="1" name="Connection130" type="5" refreshedVersion="0" background="1">
    <dbPr connection="Provider=Microsoft.Mashup.OleDb.1;Data Source=$Workbook$;Location=MESSA_Project;Extended Properties=&quot;&quot;" commandType="0"/>
  </connection>
  <connection id="38" xr16:uid="{8D906C7B-19E4-4EBB-BA12-4C756BA4E260}" keepAlive="1" name="Connection131" type="5" refreshedVersion="0" background="1">
    <dbPr connection="Provider=Microsoft.Mashup.OleDb.1;Data Source=$Workbook$;Location=MESSA_Project;Extended Properties=&quot;&quot;" commandType="0"/>
  </connection>
  <connection id="39" xr16:uid="{0707EBDC-DD4F-43E7-BDB5-03993A138F0D}" keepAlive="1" name="Connection132" type="5" refreshedVersion="0" background="1">
    <dbPr connection="Provider=Microsoft.Mashup.OleDb.1;Data Source=$Workbook$;Location=MESSA_Project;Extended Properties=&quot;&quot;" commandType="0"/>
  </connection>
  <connection id="40" xr16:uid="{3284569E-6E23-496E-8374-FC77EFC97F3F}" keepAlive="1" name="Connection133" type="5" refreshedVersion="0" background="1">
    <dbPr connection="Provider=Microsoft.Mashup.OleDb.1;Data Source=$Workbook$;Location=MESSA_Project;Extended Properties=&quot;&quot;" commandType="0"/>
  </connection>
  <connection id="41" xr16:uid="{8A715132-9B11-442C-B29B-76BB0422E03C}" keepAlive="1" name="Connection134" type="5" refreshedVersion="0" background="1">
    <dbPr connection="Provider=Microsoft.Mashup.OleDb.1;Data Source=$Workbook$;Location=MESSA_Project;Extended Properties=&quot;&quot;" commandType="0"/>
  </connection>
  <connection id="42" xr16:uid="{AD74683C-BA64-46CC-B238-57F370298629}" keepAlive="1" name="Connection135" type="5" refreshedVersion="0" background="1">
    <dbPr connection="Provider=Microsoft.Mashup.OleDb.1;Data Source=$Workbook$;Location=MESSA_Project;Extended Properties=&quot;&quot;" commandType="0"/>
  </connection>
  <connection id="43" xr16:uid="{93B7E1C4-C3C6-4BAA-8234-9E4987D7B4FB}" keepAlive="1" name="Connection136" type="5" refreshedVersion="0" background="1">
    <dbPr connection="Provider=Microsoft.Mashup.OleDb.1;Data Source=$Workbook$;Location=MESSA_Project;Extended Properties=&quot;&quot;" commandType="0"/>
  </connection>
  <connection id="44" xr16:uid="{306A5B0F-4D3D-4163-8AB4-025B6E32BEE3}" keepAlive="1" name="Connection137" type="5" refreshedVersion="0" background="1">
    <dbPr connection="Provider=Microsoft.Mashup.OleDb.1;Data Source=$Workbook$;Location=MESSA_Project;Extended Properties=&quot;&quot;" commandType="0"/>
  </connection>
  <connection id="45" xr16:uid="{8E51C8B9-8A49-47F3-B4A1-97AE6913F6C6}" keepAlive="1" name="Connection138" type="5" refreshedVersion="0" background="1">
    <dbPr connection="Provider=Microsoft.Mashup.OleDb.1;Data Source=$Workbook$;Location=MESSA_Project;Extended Properties=&quot;&quot;" commandType="0"/>
  </connection>
  <connection id="46" xr16:uid="{03D896C0-5203-48C4-9FE9-63515A980262}" keepAlive="1" name="Connection139" type="5" refreshedVersion="0" background="1">
    <dbPr connection="Provider=Microsoft.Mashup.OleDb.1;Data Source=$Workbook$;Location=MESSA_Project;Extended Properties=&quot;&quot;" commandType="0"/>
  </connection>
  <connection id="47" xr16:uid="{2C0C928E-B29F-48EC-900B-AB9F250A0A11}" keepAlive="1" name="Connection14" type="5" refreshedVersion="0" background="1">
    <dbPr connection="Provider=Microsoft.Mashup.OleDb.1;Data Source=$Workbook$;Location=MESSA_Project;Extended Properties=&quot;&quot;" commandType="0"/>
  </connection>
  <connection id="48" xr16:uid="{02C06D91-32B0-4B3E-991C-ACB10C018C64}" keepAlive="1" name="Connection140" type="5" refreshedVersion="0" background="1">
    <dbPr connection="Provider=Microsoft.Mashup.OleDb.1;Data Source=$Workbook$;Location=MESSA_Project;Extended Properties=&quot;&quot;" commandType="0"/>
  </connection>
  <connection id="49" xr16:uid="{F5661F2F-6F6D-4B25-9A67-31F2C634A8BE}" keepAlive="1" name="Connection141" type="5" refreshedVersion="0" background="1">
    <dbPr connection="Provider=Microsoft.Mashup.OleDb.1;Data Source=$Workbook$;Location=MESSA_Project;Extended Properties=&quot;&quot;" commandType="0"/>
  </connection>
  <connection id="50" xr16:uid="{32707ECD-789E-4548-AD16-E36D7DF45EA0}" keepAlive="1" name="Connection142" type="5" refreshedVersion="0" background="1">
    <dbPr connection="Provider=Microsoft.Mashup.OleDb.1;Data Source=$Workbook$;Location=MESSA_Project;Extended Properties=&quot;&quot;" commandType="0"/>
  </connection>
  <connection id="51" xr16:uid="{D3ABB43F-5836-4FF1-8C63-680C68EFF218}" keepAlive="1" name="Connection143" type="5" refreshedVersion="0" background="1">
    <dbPr connection="Provider=Microsoft.Mashup.OleDb.1;Data Source=$Workbook$;Location=MESSA_Project;Extended Properties=&quot;&quot;" commandType="0"/>
  </connection>
  <connection id="52" xr16:uid="{6ACCD0A9-DAB9-4A15-945C-E66FEEB1E506}" keepAlive="1" name="Connection144" type="5" refreshedVersion="0" background="1">
    <dbPr connection="Provider=Microsoft.Mashup.OleDb.1;Data Source=$Workbook$;Location=MESSA_Project;Extended Properties=&quot;&quot;" commandType="0"/>
  </connection>
  <connection id="53" xr16:uid="{AE907089-A3FF-43E4-B600-A6A1A346E2D9}" keepAlive="1" name="Connection145" type="5" refreshedVersion="0" background="1">
    <dbPr connection="Provider=Microsoft.Mashup.OleDb.1;Data Source=$Workbook$;Location=MESSA_Project;Extended Properties=&quot;&quot;" commandType="0"/>
  </connection>
  <connection id="54" xr16:uid="{3E9A9E83-948A-4E64-B98F-45C218C36040}" keepAlive="1" name="Connection146" type="5" refreshedVersion="0" background="1">
    <dbPr connection="Provider=Microsoft.Mashup.OleDb.1;Data Source=$Workbook$;Location=MESSA_Project;Extended Properties=&quot;&quot;" commandType="0"/>
  </connection>
  <connection id="55" xr16:uid="{8863C730-E026-4421-9E5B-99E801830831}" keepAlive="1" name="Connection147" type="5" refreshedVersion="0" background="1">
    <dbPr connection="Provider=Microsoft.Mashup.OleDb.1;Data Source=$Workbook$;Location=MESSA_Project;Extended Properties=&quot;&quot;" commandType="0"/>
  </connection>
  <connection id="56" xr16:uid="{6FF29B66-67C4-4D71-91FB-7C13A329F07B}" keepAlive="1" name="Connection148" type="5" refreshedVersion="0" background="1">
    <dbPr connection="Provider=Microsoft.Mashup.OleDb.1;Data Source=$Workbook$;Location=MESSA_Project;Extended Properties=&quot;&quot;" commandType="0"/>
  </connection>
  <connection id="57" xr16:uid="{D681240E-742E-43DC-8BC0-AF18585022E6}" keepAlive="1" name="Connection149" type="5" refreshedVersion="0" background="1">
    <dbPr connection="Provider=Microsoft.Mashup.OleDb.1;Data Source=$Workbook$;Location=MESSA_Project;Extended Properties=&quot;&quot;" commandType="0"/>
  </connection>
  <connection id="58" xr16:uid="{9DD4248D-5008-440D-B7D9-5387EA5C51BA}" keepAlive="1" name="Connection15" type="5" refreshedVersion="0" background="1">
    <dbPr connection="Provider=Microsoft.Mashup.OleDb.1;Data Source=$Workbook$;Location=MESSA_Project;Extended Properties=&quot;&quot;" commandType="0"/>
  </connection>
  <connection id="59" xr16:uid="{D8CC1424-B58B-4404-ACC4-0DC1D023EFA4}" keepAlive="1" name="Connection150" type="5" refreshedVersion="0" background="1">
    <dbPr connection="Provider=Microsoft.Mashup.OleDb.1;Data Source=$Workbook$;Location=MESSA_Project;Extended Properties=&quot;&quot;" commandType="0"/>
  </connection>
  <connection id="60" xr16:uid="{B336757A-A9A4-46BF-AC2C-FEFBE5C9D6ED}" keepAlive="1" name="Connection151" type="5" refreshedVersion="0" background="1">
    <dbPr connection="Provider=Microsoft.Mashup.OleDb.1;Data Source=$Workbook$;Location=MESSA_Project;Extended Properties=&quot;&quot;" commandType="0"/>
  </connection>
  <connection id="61" xr16:uid="{24745E5E-61F5-4D3B-BFDC-4731E0FE4EB3}" keepAlive="1" name="Connection152" type="5" refreshedVersion="0" background="1">
    <dbPr connection="Provider=Microsoft.Mashup.OleDb.1;Data Source=$Workbook$;Location=MESSA_Project;Extended Properties=&quot;&quot;" commandType="0"/>
  </connection>
  <connection id="62" xr16:uid="{ED14BBF6-C0B6-4E94-BEAF-33698176E636}" keepAlive="1" name="Connection153" type="5" refreshedVersion="0" background="1">
    <dbPr connection="Provider=Microsoft.Mashup.OleDb.1;Data Source=$Workbook$;Location=MESSA_Project;Extended Properties=&quot;&quot;" commandType="0"/>
  </connection>
  <connection id="63" xr16:uid="{507DDFE4-F11E-4F00-A8AE-20170DE8AD7E}" keepAlive="1" name="Connection154" type="5" refreshedVersion="0" background="1">
    <dbPr connection="Provider=Microsoft.Mashup.OleDb.1;Data Source=$Workbook$;Location=MESSA_Project;Extended Properties=&quot;&quot;" commandType="0"/>
  </connection>
  <connection id="64" xr16:uid="{F68466CB-C824-4A98-AA7A-AAE379F7495A}" keepAlive="1" name="Connection155" type="5" refreshedVersion="0" background="1">
    <dbPr connection="Provider=Microsoft.Mashup.OleDb.1;Data Source=$Workbook$;Location=MESSA_Project;Extended Properties=&quot;&quot;" commandType="0"/>
  </connection>
  <connection id="65" xr16:uid="{3524BD53-4A7A-478A-826D-A16552442E43}" keepAlive="1" name="Connection156" type="5" refreshedVersion="0" background="1">
    <dbPr connection="Provider=Microsoft.Mashup.OleDb.1;Data Source=$Workbook$;Location=MESSA_Project;Extended Properties=&quot;&quot;" commandType="0"/>
  </connection>
  <connection id="66" xr16:uid="{DB1E6B39-A53E-4EF3-B6DF-D958B685F081}" keepAlive="1" name="Connection157" type="5" refreshedVersion="0" background="1">
    <dbPr connection="Provider=Microsoft.Mashup.OleDb.1;Data Source=$Workbook$;Location=MESSA_Project;Extended Properties=&quot;&quot;" commandType="0"/>
  </connection>
  <connection id="67" xr16:uid="{3FAD08D8-077C-4E7F-89A6-863C3E2639C0}" keepAlive="1" name="Connection158" type="5" refreshedVersion="0" background="1">
    <dbPr connection="Provider=Microsoft.Mashup.OleDb.1;Data Source=$Workbook$;Location=MESSA_Project;Extended Properties=&quot;&quot;" commandType="0"/>
  </connection>
  <connection id="68" xr16:uid="{78EE9A14-494A-4D68-A282-A8768D656741}" keepAlive="1" name="Connection159" type="5" refreshedVersion="0" background="1">
    <dbPr connection="Provider=Microsoft.Mashup.OleDb.1;Data Source=$Workbook$;Location=MESSA_Project;Extended Properties=&quot;&quot;" commandType="0"/>
  </connection>
  <connection id="69" xr16:uid="{97E11577-039C-4687-A1E7-0E58BDEF15C6}" keepAlive="1" name="Connection16" type="5" refreshedVersion="0" background="1">
    <dbPr connection="Provider=Microsoft.Mashup.OleDb.1;Data Source=$Workbook$;Location=MESSA_Project;Extended Properties=&quot;&quot;" commandType="0"/>
  </connection>
  <connection id="70" xr16:uid="{352F814B-5D07-4AEA-B0F2-9407FE1DF082}" keepAlive="1" name="Connection160" type="5" refreshedVersion="0" background="1">
    <dbPr connection="Provider=Microsoft.Mashup.OleDb.1;Data Source=$Workbook$;Location=MESSA_Project;Extended Properties=&quot;&quot;" commandType="0"/>
  </connection>
  <connection id="71" xr16:uid="{325D41C3-04DE-4CC2-A0EA-0D391F0B87D7}" keepAlive="1" name="Connection161" type="5" refreshedVersion="0" background="1">
    <dbPr connection="Provider=Microsoft.Mashup.OleDb.1;Data Source=$Workbook$;Location=MESSA_Project;Extended Properties=&quot;&quot;" commandType="0"/>
  </connection>
  <connection id="72" xr16:uid="{2E15ACA7-62FA-4FCF-9C13-3BC5BC2F94AF}" keepAlive="1" name="Connection162" type="5" refreshedVersion="0" background="1">
    <dbPr connection="Provider=Microsoft.Mashup.OleDb.1;Data Source=$Workbook$;Location=MESSA_Project;Extended Properties=&quot;&quot;" commandType="0"/>
  </connection>
  <connection id="73" xr16:uid="{692C40FF-DABF-4815-BD24-F829A91AA8A1}" keepAlive="1" name="Connection163" type="5" refreshedVersion="0" background="1">
    <dbPr connection="Provider=Microsoft.Mashup.OleDb.1;Data Source=$Workbook$;Location=MESSA_Project;Extended Properties=&quot;&quot;" commandType="0"/>
  </connection>
  <connection id="74" xr16:uid="{55F5B913-05D9-4C1B-A2D4-2BFE7A110B8D}" keepAlive="1" name="Connection164" type="5" refreshedVersion="0" background="1">
    <dbPr connection="Provider=Microsoft.Mashup.OleDb.1;Data Source=$Workbook$;Location=MESSA_Project;Extended Properties=&quot;&quot;" commandType="0"/>
  </connection>
  <connection id="75" xr16:uid="{845139DD-6A3E-4ADD-AF83-449D1F42102D}" keepAlive="1" name="Connection165" type="5" refreshedVersion="0" background="1">
    <dbPr connection="Provider=Microsoft.Mashup.OleDb.1;Data Source=$Workbook$;Location=MESSA_Project;Extended Properties=&quot;&quot;" commandType="0"/>
  </connection>
  <connection id="76" xr16:uid="{5F65EEC4-EFB3-46C5-80EA-9708D97E0AF1}" keepAlive="1" name="Connection166" type="5" refreshedVersion="0" background="1">
    <dbPr connection="Provider=Microsoft.Mashup.OleDb.1;Data Source=$Workbook$;Location=MESSA_Project;Extended Properties=&quot;&quot;" commandType="0"/>
  </connection>
  <connection id="77" xr16:uid="{E52078CC-4101-4322-B82C-7C17C5B8C8B9}" keepAlive="1" name="Connection167" type="5" refreshedVersion="0" background="1">
    <dbPr connection="Provider=Microsoft.Mashup.OleDb.1;Data Source=$Workbook$;Location=MESSA_Project;Extended Properties=&quot;&quot;" commandType="0"/>
  </connection>
  <connection id="78" xr16:uid="{E036D208-F778-44AE-9C91-83BC6026E2E7}" keepAlive="1" name="Connection168" type="5" refreshedVersion="0" background="1">
    <dbPr connection="Provider=Microsoft.Mashup.OleDb.1;Data Source=$Workbook$;Location=MESSA_Project;Extended Properties=&quot;&quot;" commandType="0"/>
  </connection>
  <connection id="79" xr16:uid="{17433AA2-9CFA-4E54-9C69-762160C81746}" keepAlive="1" name="Connection169" type="5" refreshedVersion="0" background="1">
    <dbPr connection="Provider=Microsoft.Mashup.OleDb.1;Data Source=$Workbook$;Location=MESSA_Project;Extended Properties=&quot;&quot;" commandType="0"/>
  </connection>
  <connection id="80" xr16:uid="{8B3C52F8-AA06-4C57-97A4-DCA07BE67911}" keepAlive="1" name="Connection17" type="5" refreshedVersion="0" background="1">
    <dbPr connection="Provider=Microsoft.Mashup.OleDb.1;Data Source=$Workbook$;Location=MESSA_Project;Extended Properties=&quot;&quot;" commandType="0"/>
  </connection>
  <connection id="81" xr16:uid="{DF9994A4-85AB-44CF-B2AC-4D41688DA305}" keepAlive="1" name="Connection170" type="5" refreshedVersion="0" background="1">
    <dbPr connection="Provider=Microsoft.Mashup.OleDb.1;Data Source=$Workbook$;Location=MESSA_Project;Extended Properties=&quot;&quot;" commandType="0"/>
  </connection>
  <connection id="82" xr16:uid="{D6BC00BC-CF56-449E-9EFD-46AC9B30DA77}" keepAlive="1" name="Connection171" type="5" refreshedVersion="0" background="1">
    <dbPr connection="Provider=Microsoft.Mashup.OleDb.1;Data Source=$Workbook$;Location=MESSA_Project;Extended Properties=&quot;&quot;" commandType="0"/>
  </connection>
  <connection id="83" xr16:uid="{6C47610E-5AF1-4771-87E6-FADC2E07D511}" keepAlive="1" name="Connection172" type="5" refreshedVersion="0" background="1">
    <dbPr connection="Provider=Microsoft.Mashup.OleDb.1;Data Source=$Workbook$;Location=MESSA_Project;Extended Properties=&quot;&quot;" commandType="0"/>
  </connection>
  <connection id="84" xr16:uid="{7DD88E42-EAD3-41BB-B5F5-27E36F93DFCF}" keepAlive="1" name="Connection173" type="5" refreshedVersion="0" background="1">
    <dbPr connection="Provider=Microsoft.Mashup.OleDb.1;Data Source=$Workbook$;Location=MESSA_Project;Extended Properties=&quot;&quot;" commandType="0"/>
  </connection>
  <connection id="85" xr16:uid="{CD2EE916-B56B-402B-B17D-F1A08FB2E63F}" keepAlive="1" name="Connection174" type="5" refreshedVersion="0" background="1">
    <dbPr connection="Provider=Microsoft.Mashup.OleDb.1;Data Source=$Workbook$;Location=MESSA_Project;Extended Properties=&quot;&quot;" commandType="0"/>
  </connection>
  <connection id="86" xr16:uid="{F1ECC508-7F1C-470E-B187-A374BB966B3F}" keepAlive="1" name="Connection175" type="5" refreshedVersion="0" background="1">
    <dbPr connection="Provider=Microsoft.Mashup.OleDb.1;Data Source=$Workbook$;Location=MESSA_Project;Extended Properties=&quot;&quot;" commandType="0"/>
  </connection>
  <connection id="87" xr16:uid="{9106029E-CE52-4E71-A3DC-CBA56D316EA9}" keepAlive="1" name="Connection176" type="5" refreshedVersion="0" background="1">
    <dbPr connection="Provider=Microsoft.Mashup.OleDb.1;Data Source=$Workbook$;Location=MESSA_Project;Extended Properties=&quot;&quot;" commandType="0"/>
  </connection>
  <connection id="88" xr16:uid="{883C2A34-8B6C-4E7D-8328-7FE4771F6730}" keepAlive="1" name="Connection177" type="5" refreshedVersion="0" background="1">
    <dbPr connection="Provider=Microsoft.Mashup.OleDb.1;Data Source=$Workbook$;Location=MESSA_Project;Extended Properties=&quot;&quot;" commandType="0"/>
  </connection>
  <connection id="89" xr16:uid="{16E58B11-697D-4DCF-A4D2-656DD29DAD1E}" keepAlive="1" name="Connection178" type="5" refreshedVersion="0" background="1">
    <dbPr connection="Provider=Microsoft.Mashup.OleDb.1;Data Source=$Workbook$;Location=MESSA_Project;Extended Properties=&quot;&quot;" commandType="0"/>
  </connection>
  <connection id="90" xr16:uid="{BEEE5E60-BEA0-461C-9B86-23E61F92565F}" keepAlive="1" name="Connection179" type="5" refreshedVersion="0" background="1">
    <dbPr connection="Provider=Microsoft.Mashup.OleDb.1;Data Source=$Workbook$;Location=MESSA_Project;Extended Properties=&quot;&quot;" commandType="0"/>
  </connection>
  <connection id="91" xr16:uid="{FF0B6142-47A5-4C25-BF36-BAF499A66841}" keepAlive="1" name="Connection18" type="5" refreshedVersion="0" background="1">
    <dbPr connection="Provider=Microsoft.Mashup.OleDb.1;Data Source=$Workbook$;Location=MESSA_Project;Extended Properties=&quot;&quot;" commandType="0"/>
  </connection>
  <connection id="92" xr16:uid="{61A170FF-CD6F-451E-AC82-ABC89FBC2338}" keepAlive="1" name="Connection180" type="5" refreshedVersion="6" background="1" saveData="1">
    <dbPr connection="Provider=Microsoft.Mashup.OleDb.1;Data Source=$Workbook$;Location=MESSA_Project;Extended Properties=&quot;&quot;" command="SELECT * FROM [MESSA_Project]"/>
  </connection>
  <connection id="93" xr16:uid="{9AA0AD57-64C7-4ACB-B20B-891AE342B0A7}" keepAlive="1" name="Connection181" type="5" refreshedVersion="0" background="1">
    <dbPr connection="Provider=Microsoft.Mashup.OleDb.1;Data Source=$Workbook$;Location=MESSA_Project;Extended Properties=&quot;&quot;" commandType="0"/>
  </connection>
  <connection id="94" xr16:uid="{36BE0910-EDA5-448F-84E9-661113BEDB71}" keepAlive="1" name="Connection182" type="5" refreshedVersion="0" background="1">
    <dbPr connection="Provider=Microsoft.Mashup.OleDb.1;Data Source=$Workbook$;Location=MESSA_Project;Extended Properties=&quot;&quot;" commandType="0"/>
  </connection>
  <connection id="95" xr16:uid="{D852C0F2-B636-448D-977C-BB6E47003483}" keepAlive="1" name="Connection183" type="5" refreshedVersion="0" background="1">
    <dbPr connection="Provider=Microsoft.Mashup.OleDb.1;Data Source=$Workbook$;Location=MESSA_Project;Extended Properties=&quot;&quot;" commandType="0"/>
  </connection>
  <connection id="96" xr16:uid="{6BCBF74D-8B48-4AB6-A5D0-79777267EF01}" keepAlive="1" name="Connection184" type="5" refreshedVersion="0" background="1">
    <dbPr connection="Provider=Microsoft.Mashup.OleDb.1;Data Source=$Workbook$;Location=MESSA_Project;Extended Properties=&quot;&quot;" commandType="0"/>
  </connection>
  <connection id="97" xr16:uid="{6F68D793-17E8-47D3-B544-D5A583EF6AE2}" keepAlive="1" name="Connection185" type="5" refreshedVersion="0" background="1">
    <dbPr connection="Provider=Microsoft.Mashup.OleDb.1;Data Source=$Workbook$;Location=MESSA_Project;Extended Properties=&quot;&quot;" commandType="0"/>
  </connection>
  <connection id="98" xr16:uid="{53FF5D71-0B66-49FC-835E-9B093FEA65B8}" keepAlive="1" name="Connection186" type="5" refreshedVersion="0" background="1">
    <dbPr connection="Provider=Microsoft.Mashup.OleDb.1;Data Source=$Workbook$;Location=MESSA_Project;Extended Properties=&quot;&quot;" commandType="0"/>
  </connection>
  <connection id="99" xr16:uid="{A56CA501-8582-422C-8517-AF7CF26EAB18}" keepAlive="1" name="Connection187" type="5" refreshedVersion="0" background="1">
    <dbPr connection="Provider=Microsoft.Mashup.OleDb.1;Data Source=$Workbook$;Location=MESSA_Project;Extended Properties=&quot;&quot;" commandType="0"/>
  </connection>
  <connection id="100" xr16:uid="{2C9150BC-BBD6-4D12-8616-20A73F11FC8B}" keepAlive="1" name="Connection188" type="5" refreshedVersion="0" background="1">
    <dbPr connection="Provider=Microsoft.Mashup.OleDb.1;Data Source=$Workbook$;Location=MESSA_Project;Extended Properties=&quot;&quot;" commandType="0"/>
  </connection>
  <connection id="101" xr16:uid="{F719341A-2705-403F-BFCA-7821656D05A0}" keepAlive="1" name="Connection189" type="5" refreshedVersion="0" background="1">
    <dbPr connection="Provider=Microsoft.Mashup.OleDb.1;Data Source=$Workbook$;Location=MESSA_Project;Extended Properties=&quot;&quot;" commandType="0"/>
  </connection>
  <connection id="102" xr16:uid="{9EA7B20D-BDD6-4BA7-BE20-4542E94BCDEF}" keepAlive="1" name="Connection19" type="5" refreshedVersion="0" background="1">
    <dbPr connection="Provider=Microsoft.Mashup.OleDb.1;Data Source=$Workbook$;Location=MESSA_Project;Extended Properties=&quot;&quot;" commandType="0"/>
  </connection>
  <connection id="103" xr16:uid="{FC465E92-EFD4-4988-9A62-3EC4C032ED84}" keepAlive="1" name="Connection190" type="5" refreshedVersion="0" background="1">
    <dbPr connection="Provider=Microsoft.Mashup.OleDb.1;Data Source=$Workbook$;Location=MESSA_Project;Extended Properties=&quot;&quot;" commandType="0"/>
  </connection>
  <connection id="104" xr16:uid="{7BC12B1D-1FF7-4ADB-BD2C-66F396E9501A}" keepAlive="1" name="Connection191" type="5" refreshedVersion="0" background="1">
    <dbPr connection="Provider=Microsoft.Mashup.OleDb.1;Data Source=$Workbook$;Location=MESSA_Project;Extended Properties=&quot;&quot;" commandType="0"/>
  </connection>
  <connection id="105" xr16:uid="{2975AEE3-2563-4048-9D66-64639FE60C96}" keepAlive="1" name="Connection192" type="5" refreshedVersion="0" background="1">
    <dbPr connection="Provider=Microsoft.Mashup.OleDb.1;Data Source=$Workbook$;Location=MESSA_Project;Extended Properties=&quot;&quot;" commandType="0"/>
  </connection>
  <connection id="106" xr16:uid="{890F5F46-D20B-436F-BFCB-9629DF348BD2}" keepAlive="1" name="Connection193" type="5" refreshedVersion="0" background="1">
    <dbPr connection="Provider=Microsoft.Mashup.OleDb.1;Data Source=$Workbook$;Location=MESSA_Project;Extended Properties=&quot;&quot;" commandType="0"/>
  </connection>
  <connection id="107" xr16:uid="{B8F033EF-0A5A-46B7-9749-19A33F2FF16F}" keepAlive="1" name="Connection194" type="5" refreshedVersion="0" background="1">
    <dbPr connection="Provider=Microsoft.Mashup.OleDb.1;Data Source=$Workbook$;Location=MESSA_Project;Extended Properties=&quot;&quot;" commandType="0"/>
  </connection>
  <connection id="108" xr16:uid="{E3D3AC8E-D34A-4CEA-BCF1-0D166EC95E72}" keepAlive="1" name="Connection195" type="5" refreshedVersion="0" background="1">
    <dbPr connection="Provider=Microsoft.Mashup.OleDb.1;Data Source=$Workbook$;Location=MESSA_Project;Extended Properties=&quot;&quot;" commandType="0"/>
  </connection>
  <connection id="109" xr16:uid="{B2F1D7C6-269F-46D4-BB25-EA5E7D8F3D1D}" keepAlive="1" name="Connection196" type="5" refreshedVersion="0" background="1">
    <dbPr connection="Provider=Microsoft.Mashup.OleDb.1;Data Source=$Workbook$;Location=MESSA_Project;Extended Properties=&quot;&quot;" commandType="0"/>
  </connection>
  <connection id="110" xr16:uid="{9B4D4BAE-4E82-40C5-8C01-84670DF8C2D0}" keepAlive="1" name="Connection197" type="5" refreshedVersion="0" background="1">
    <dbPr connection="Provider=Microsoft.Mashup.OleDb.1;Data Source=$Workbook$;Location=MESSA_Project;Extended Properties=&quot;&quot;" commandType="0"/>
  </connection>
  <connection id="111" xr16:uid="{F75842B6-7FCF-4FB6-8E42-1FDFAEA49A1D}" keepAlive="1" name="Connection198" type="5" refreshedVersion="0" background="1">
    <dbPr connection="Provider=Microsoft.Mashup.OleDb.1;Data Source=$Workbook$;Location=MESSA_Project;Extended Properties=&quot;&quot;" commandType="0"/>
  </connection>
  <connection id="112" xr16:uid="{9DE25B28-4970-43AE-9E70-ECCAE7407ED5}" keepAlive="1" name="Connection199" type="5" refreshedVersion="0" background="1">
    <dbPr connection="Provider=Microsoft.Mashup.OleDb.1;Data Source=$Workbook$;Location=MESSA_Project;Extended Properties=&quot;&quot;" commandType="0"/>
  </connection>
  <connection id="113" xr16:uid="{85818FA9-E575-4E36-A714-94E5CADA4EDA}" keepAlive="1" name="Connection2" type="5" refreshedVersion="0" background="1">
    <dbPr connection="Provider=Microsoft.Mashup.OleDb.1;Data Source=$Workbook$;Location=MESSA_Project;Extended Properties=&quot;&quot;" commandType="0"/>
  </connection>
  <connection id="114" xr16:uid="{17760187-BD82-4FAD-A976-82151AB25887}" keepAlive="1" name="Connection20" type="5" refreshedVersion="0" background="1">
    <dbPr connection="Provider=Microsoft.Mashup.OleDb.1;Data Source=$Workbook$;Location=MESSA_Project;Extended Properties=&quot;&quot;" commandType="0"/>
  </connection>
  <connection id="115" xr16:uid="{079F8747-711E-43FD-92EF-F365592C61CE}" keepAlive="1" name="Connection200" type="5" refreshedVersion="0" background="1">
    <dbPr connection="Provider=Microsoft.Mashup.OleDb.1;Data Source=$Workbook$;Location=MESSA_Project;Extended Properties=&quot;&quot;" commandType="0"/>
  </connection>
  <connection id="116" xr16:uid="{44E39163-6E61-46C8-9B63-B59A39C975BF}" keepAlive="1" name="Connection201" type="5" refreshedVersion="0" background="1">
    <dbPr connection="Provider=Microsoft.Mashup.OleDb.1;Data Source=$Workbook$;Location=MESSA_Project;Extended Properties=&quot;&quot;" commandType="0"/>
  </connection>
  <connection id="117" xr16:uid="{09DE1652-4E59-4BA0-81E0-E5D144E4AA61}" keepAlive="1" name="Connection202" type="5" refreshedVersion="0" background="1">
    <dbPr connection="Provider=Microsoft.Mashup.OleDb.1;Data Source=$Workbook$;Location=MESSA_Project;Extended Properties=&quot;&quot;" commandType="0"/>
  </connection>
  <connection id="118" xr16:uid="{0DB2303B-3589-48FC-B25E-A7BE81ECDE92}" keepAlive="1" name="Connection203" type="5" refreshedVersion="0" background="1">
    <dbPr connection="Provider=Microsoft.Mashup.OleDb.1;Data Source=$Workbook$;Location=MESSA_Project;Extended Properties=&quot;&quot;" commandType="0"/>
  </connection>
  <connection id="119" xr16:uid="{620C9AF9-1D8D-4676-8B9B-E323583D1297}" keepAlive="1" name="Connection204" type="5" refreshedVersion="0" background="1">
    <dbPr connection="Provider=Microsoft.Mashup.OleDb.1;Data Source=$Workbook$;Location=MESSA_Project;Extended Properties=&quot;&quot;" commandType="0"/>
  </connection>
  <connection id="120" xr16:uid="{0C5CB8F6-D907-420A-BAA6-55B7DC7119A7}" keepAlive="1" name="Connection205" type="5" refreshedVersion="0" background="1">
    <dbPr connection="Provider=Microsoft.Mashup.OleDb.1;Data Source=$Workbook$;Location=MESSA_Project;Extended Properties=&quot;&quot;" commandType="0"/>
  </connection>
  <connection id="121" xr16:uid="{2E5FB8DE-D66F-46CA-A1A0-4AB986894518}" keepAlive="1" name="Connection206" type="5" refreshedVersion="0" background="1">
    <dbPr connection="Provider=Microsoft.Mashup.OleDb.1;Data Source=$Workbook$;Location=MESSA_Project;Extended Properties=&quot;&quot;" commandType="0"/>
  </connection>
  <connection id="122" xr16:uid="{BD16784B-E81D-4AB6-902D-578C0928888B}" keepAlive="1" name="Connection207" type="5" refreshedVersion="0" background="1">
    <dbPr connection="Provider=Microsoft.Mashup.OleDb.1;Data Source=$Workbook$;Location=MESSA_Project;Extended Properties=&quot;&quot;" commandType="0"/>
  </connection>
  <connection id="123" xr16:uid="{9B7D58FE-E1E2-4DB1-9F35-BBE68028376A}" keepAlive="1" name="Connection208" type="5" refreshedVersion="0" background="1">
    <dbPr connection="Provider=Microsoft.Mashup.OleDb.1;Data Source=$Workbook$;Location=MESSA_Project;Extended Properties=&quot;&quot;" commandType="0"/>
  </connection>
  <connection id="124" xr16:uid="{D89BC190-FE1A-4D93-88D4-09BBF7E21119}" keepAlive="1" name="Connection209" type="5" refreshedVersion="0" background="1">
    <dbPr connection="Provider=Microsoft.Mashup.OleDb.1;Data Source=$Workbook$;Location=MESSA_Project;Extended Properties=&quot;&quot;" commandType="0"/>
  </connection>
  <connection id="125" xr16:uid="{145342E6-A157-4AC0-B39A-461063DF2147}" keepAlive="1" name="Connection21" type="5" refreshedVersion="0" background="1">
    <dbPr connection="Provider=Microsoft.Mashup.OleDb.1;Data Source=$Workbook$;Location=MESSA_Project;Extended Properties=&quot;&quot;" commandType="0"/>
  </connection>
  <connection id="126" xr16:uid="{CACD5B59-DFED-46E7-BD85-5B92BEC54A7A}" keepAlive="1" name="Connection210" type="5" refreshedVersion="0" background="1">
    <dbPr connection="Provider=Microsoft.Mashup.OleDb.1;Data Source=$Workbook$;Location=MESSA_Project;Extended Properties=&quot;&quot;" commandType="0"/>
  </connection>
  <connection id="127" xr16:uid="{1A4E2C3C-3CE3-448E-AC77-AE357DDB562E}" keepAlive="1" name="Connection211" type="5" refreshedVersion="0" background="1">
    <dbPr connection="Provider=Microsoft.Mashup.OleDb.1;Data Source=$Workbook$;Location=MESSA_Project;Extended Properties=&quot;&quot;" commandType="0"/>
  </connection>
  <connection id="128" xr16:uid="{94B2279F-0EAC-465E-A1FD-F0D2D389E78B}" keepAlive="1" name="Connection212" type="5" refreshedVersion="0" background="1">
    <dbPr connection="Provider=Microsoft.Mashup.OleDb.1;Data Source=$Workbook$;Location=MESSA_Project;Extended Properties=&quot;&quot;" commandType="0"/>
  </connection>
  <connection id="129" xr16:uid="{8940707F-07DD-452A-A3C9-21276C2C66DC}" keepAlive="1" name="Connection213" type="5" refreshedVersion="0" background="1">
    <dbPr connection="Provider=Microsoft.Mashup.OleDb.1;Data Source=$Workbook$;Location=MESSA_Project;Extended Properties=&quot;&quot;" commandType="0"/>
  </connection>
  <connection id="130" xr16:uid="{396BD370-858B-4C64-9F40-9A72981BB703}" keepAlive="1" name="Connection214" type="5" refreshedVersion="0" background="1">
    <dbPr connection="Provider=Microsoft.Mashup.OleDb.1;Data Source=$Workbook$;Location=MESSA_Project;Extended Properties=&quot;&quot;" commandType="0"/>
  </connection>
  <connection id="131" xr16:uid="{55611CBF-0A3C-403F-9BC1-FC1B86842895}" keepAlive="1" name="Connection215" type="5" refreshedVersion="0" background="1">
    <dbPr connection="Provider=Microsoft.Mashup.OleDb.1;Data Source=$Workbook$;Location=MESSA_Project;Extended Properties=&quot;&quot;" commandType="0"/>
  </connection>
  <connection id="132" xr16:uid="{115B0CEE-BC59-4F08-A7F4-AA6F6B855918}" keepAlive="1" name="Connection216" type="5" refreshedVersion="0" background="1">
    <dbPr connection="Provider=Microsoft.Mashup.OleDb.1;Data Source=$Workbook$;Location=MESSA_Project;Extended Properties=&quot;&quot;" commandType="0"/>
  </connection>
  <connection id="133" xr16:uid="{292C3646-84ED-4773-A36A-20775A3A28B7}" keepAlive="1" name="Connection217" type="5" refreshedVersion="0" background="1">
    <dbPr connection="Provider=Microsoft.Mashup.OleDb.1;Data Source=$Workbook$;Location=MESSA_Project;Extended Properties=&quot;&quot;" commandType="0"/>
  </connection>
  <connection id="134" xr16:uid="{D6D3CA0C-F323-467F-8D46-2ED5A64838D3}" keepAlive="1" name="Connection218" type="5" refreshedVersion="0" background="1">
    <dbPr connection="Provider=Microsoft.Mashup.OleDb.1;Data Source=$Workbook$;Location=MESSA_Project;Extended Properties=&quot;&quot;" commandType="0"/>
  </connection>
  <connection id="135" xr16:uid="{3E262F70-0487-42B3-B615-F3860FEC0F3C}" keepAlive="1" name="Connection219" type="5" refreshedVersion="0" background="1">
    <dbPr connection="Provider=Microsoft.Mashup.OleDb.1;Data Source=$Workbook$;Location=MESSA_Project;Extended Properties=&quot;&quot;" commandType="0"/>
  </connection>
  <connection id="136" xr16:uid="{D4041719-554B-4454-93E4-013DDF62803F}" keepAlive="1" name="Connection22" type="5" refreshedVersion="0" background="1">
    <dbPr connection="Provider=Microsoft.Mashup.OleDb.1;Data Source=$Workbook$;Location=MESSA_Project;Extended Properties=&quot;&quot;" commandType="0"/>
  </connection>
  <connection id="137" xr16:uid="{24440D90-B54B-4B9A-88D8-C27FE49CB691}" keepAlive="1" name="Connection220" type="5" refreshedVersion="0" background="1">
    <dbPr connection="Provider=Microsoft.Mashup.OleDb.1;Data Source=$Workbook$;Location=MESSA_Project;Extended Properties=&quot;&quot;" commandType="0"/>
  </connection>
  <connection id="138" xr16:uid="{B9A7C07D-6892-4963-82DF-C7DBFAF878AD}" keepAlive="1" name="Connection221" type="5" refreshedVersion="0" background="1">
    <dbPr connection="Provider=Microsoft.Mashup.OleDb.1;Data Source=$Workbook$;Location=MESSA_Project;Extended Properties=&quot;&quot;" commandType="0"/>
  </connection>
  <connection id="139" xr16:uid="{3551E1F5-2759-4130-A07F-74CB7E87A5F4}" keepAlive="1" name="Connection222" type="5" refreshedVersion="0" background="1">
    <dbPr connection="Provider=Microsoft.Mashup.OleDb.1;Data Source=$Workbook$;Location=MESSA_Project;Extended Properties=&quot;&quot;" commandType="0"/>
  </connection>
  <connection id="140" xr16:uid="{85CCFFD3-4400-4C2D-B37B-DAF1DCFFFCE8}" keepAlive="1" name="Connection223" type="5" refreshedVersion="0" background="1">
    <dbPr connection="Provider=Microsoft.Mashup.OleDb.1;Data Source=$Workbook$;Location=MESSA_Project;Extended Properties=&quot;&quot;" commandType="0"/>
  </connection>
  <connection id="141" xr16:uid="{42BE60B2-C585-4834-9591-49B6595AF924}" keepAlive="1" name="Connection224" type="5" refreshedVersion="0" background="1">
    <dbPr connection="Provider=Microsoft.Mashup.OleDb.1;Data Source=$Workbook$;Location=MESSA_Project;Extended Properties=&quot;&quot;" commandType="0"/>
  </connection>
  <connection id="142" xr16:uid="{F57A9938-D601-424D-A02E-AB41BEE6231A}" keepAlive="1" name="Connection225" type="5" refreshedVersion="0" background="1">
    <dbPr connection="Provider=Microsoft.Mashup.OleDb.1;Data Source=$Workbook$;Location=MESSA_Project;Extended Properties=&quot;&quot;" commandType="0"/>
  </connection>
  <connection id="143" xr16:uid="{C2041E77-961B-4948-B3B0-E48F7FDAC997}" keepAlive="1" name="Connection226" type="5" refreshedVersion="0" background="1">
    <dbPr connection="Provider=Microsoft.Mashup.OleDb.1;Data Source=$Workbook$;Location=MESSA_Project;Extended Properties=&quot;&quot;" commandType="0"/>
  </connection>
  <connection id="144" xr16:uid="{4E8D9C1F-7F89-4A3D-9B4E-5D11CBF77D89}" keepAlive="1" name="Connection227" type="5" refreshedVersion="0" background="1">
    <dbPr connection="Provider=Microsoft.Mashup.OleDb.1;Data Source=$Workbook$;Location=MESSA_Project;Extended Properties=&quot;&quot;" commandType="0"/>
  </connection>
  <connection id="145" xr16:uid="{F8358FCE-6184-40CB-9472-B0C9D73F8309}" keepAlive="1" name="Connection228" type="5" refreshedVersion="0" background="1">
    <dbPr connection="Provider=Microsoft.Mashup.OleDb.1;Data Source=$Workbook$;Location=MESSA_Project;Extended Properties=&quot;&quot;" commandType="0"/>
  </connection>
  <connection id="146" xr16:uid="{2303869D-90EB-491E-84C0-8A654B66B7AF}" keepAlive="1" name="Connection229" type="5" refreshedVersion="0" background="1">
    <dbPr connection="Provider=Microsoft.Mashup.OleDb.1;Data Source=$Workbook$;Location=MESSA_Project;Extended Properties=&quot;&quot;" commandType="0"/>
  </connection>
  <connection id="147" xr16:uid="{00A1DA9D-3682-4574-B029-C3838CA5D02F}" keepAlive="1" name="Connection23" type="5" refreshedVersion="0" background="1">
    <dbPr connection="Provider=Microsoft.Mashup.OleDb.1;Data Source=$Workbook$;Location=MESSA_Project;Extended Properties=&quot;&quot;" commandType="0"/>
  </connection>
  <connection id="148" xr16:uid="{431E1BE9-8527-4D70-9EC7-009169CB8638}" keepAlive="1" name="Connection230" type="5" refreshedVersion="0" background="1">
    <dbPr connection="Provider=Microsoft.Mashup.OleDb.1;Data Source=$Workbook$;Location=MESSA_Project;Extended Properties=&quot;&quot;" commandType="0"/>
  </connection>
  <connection id="149" xr16:uid="{AC33FB55-1638-4EBF-B7CC-297986D8C065}" keepAlive="1" name="Connection231" type="5" refreshedVersion="0" background="1">
    <dbPr connection="Provider=Microsoft.Mashup.OleDb.1;Data Source=$Workbook$;Location=MESSA_Project;Extended Properties=&quot;&quot;" commandType="0"/>
  </connection>
  <connection id="150" xr16:uid="{DD886EF5-24BF-47C3-9FE0-85C82A01764C}" keepAlive="1" name="Connection232" type="5" refreshedVersion="0" background="1">
    <dbPr connection="Provider=Microsoft.Mashup.OleDb.1;Data Source=$Workbook$;Location=MESSA_Project;Extended Properties=&quot;&quot;" commandType="0"/>
  </connection>
  <connection id="151" xr16:uid="{5F5EADE8-C34F-4943-870B-748D3BF1DCA0}" keepAlive="1" name="Connection233" type="5" refreshedVersion="0" background="1">
    <dbPr connection="Provider=Microsoft.Mashup.OleDb.1;Data Source=$Workbook$;Location=MESSA_Project;Extended Properties=&quot;&quot;" commandType="0"/>
  </connection>
  <connection id="152" xr16:uid="{BE30233A-4278-4ED2-B6C6-E7BE6753B70E}" keepAlive="1" name="Connection234" type="5" refreshedVersion="0" background="1">
    <dbPr connection="Provider=Microsoft.Mashup.OleDb.1;Data Source=$Workbook$;Location=MESSA_Project;Extended Properties=&quot;&quot;" commandType="0"/>
  </connection>
  <connection id="153" xr16:uid="{6F45FD87-38E0-4C4F-BB6E-42E7FD7B152A}" keepAlive="1" name="Connection235" type="5" refreshedVersion="0" background="1">
    <dbPr connection="Provider=Microsoft.Mashup.OleDb.1;Data Source=$Workbook$;Location=MESSA_Project;Extended Properties=&quot;&quot;" commandType="0"/>
  </connection>
  <connection id="154" xr16:uid="{EF5E2BD4-6A26-4B53-9FD7-60060038D052}" keepAlive="1" name="Connection236" type="5" refreshedVersion="0" background="1">
    <dbPr connection="Provider=Microsoft.Mashup.OleDb.1;Data Source=$Workbook$;Location=MESSA_Project;Extended Properties=&quot;&quot;" commandType="0"/>
  </connection>
  <connection id="155" xr16:uid="{0ACB3938-01F9-40AE-BF3E-8D78014589B8}" keepAlive="1" name="Connection237" type="5" refreshedVersion="0" background="1">
    <dbPr connection="Provider=Microsoft.Mashup.OleDb.1;Data Source=$Workbook$;Location=MESSA_Project;Extended Properties=&quot;&quot;" commandType="0"/>
  </connection>
  <connection id="156" xr16:uid="{21FF6ABD-8957-42CD-90CA-6588234E3B45}" keepAlive="1" name="Connection238" type="5" refreshedVersion="0" background="1">
    <dbPr connection="Provider=Microsoft.Mashup.OleDb.1;Data Source=$Workbook$;Location=MESSA_Project;Extended Properties=&quot;&quot;" commandType="0"/>
  </connection>
  <connection id="157" xr16:uid="{843D5753-B1A0-4239-A32E-C0E5AF3EA613}" keepAlive="1" name="Connection239" type="5" refreshedVersion="0" background="1">
    <dbPr connection="Provider=Microsoft.Mashup.OleDb.1;Data Source=$Workbook$;Location=MESSA_Project;Extended Properties=&quot;&quot;" commandType="0"/>
  </connection>
  <connection id="158" xr16:uid="{AC2B48FD-0153-4D63-A816-22C301DF9190}" keepAlive="1" name="Connection24" type="5" refreshedVersion="0" background="1">
    <dbPr connection="Provider=Microsoft.Mashup.OleDb.1;Data Source=$Workbook$;Location=MESSA_Project;Extended Properties=&quot;&quot;" commandType="0"/>
  </connection>
  <connection id="159" xr16:uid="{DF32EA7A-C69A-4755-BEEE-7EE0B18A79E7}" keepAlive="1" name="Connection240" type="5" refreshedVersion="0" background="1">
    <dbPr connection="Provider=Microsoft.Mashup.OleDb.1;Data Source=$Workbook$;Location=MESSA_Project;Extended Properties=&quot;&quot;" commandType="0"/>
  </connection>
  <connection id="160" xr16:uid="{1BA8328C-C0E2-442D-9189-248CB29300F7}" keepAlive="1" name="Connection241" type="5" refreshedVersion="0" background="1">
    <dbPr connection="Provider=Microsoft.Mashup.OleDb.1;Data Source=$Workbook$;Location=MESSA_Project;Extended Properties=&quot;&quot;" commandType="0"/>
  </connection>
  <connection id="161" xr16:uid="{E0F1D60D-4CC0-4E2C-8C69-EA6D0C88CDE8}" keepAlive="1" name="Connection242" type="5" refreshedVersion="6" background="1" saveData="1">
    <dbPr connection="Provider=Microsoft.Mashup.OleDb.1;Data Source=$Workbook$;Location=MESSA_Project;Extended Properties=&quot;&quot;" command="SELECT * FROM [MESSA_Project]"/>
  </connection>
  <connection id="162" xr16:uid="{37096363-1460-4839-9C2E-9D686DEFC3B6}" keepAlive="1" name="Connection243" type="5" refreshedVersion="0" background="1">
    <dbPr connection="Provider=Microsoft.Mashup.OleDb.1;Data Source=$Workbook$;Location=MESSA_Project;Extended Properties=&quot;&quot;" commandType="0"/>
  </connection>
  <connection id="163" xr16:uid="{CFB3AC6A-5179-49FB-925F-3FFB4D59B45B}" keepAlive="1" name="Connection244" type="5" refreshedVersion="0" background="1">
    <dbPr connection="Provider=Microsoft.Mashup.OleDb.1;Data Source=$Workbook$;Location=MESSA_Project;Extended Properties=&quot;&quot;" commandType="0"/>
  </connection>
  <connection id="164" xr16:uid="{8D30C987-79F2-48B5-B0F2-531ACAB1EA2C}" keepAlive="1" name="Connection245" type="5" refreshedVersion="0" background="1">
    <dbPr connection="Provider=Microsoft.Mashup.OleDb.1;Data Source=$Workbook$;Location=MESSA_Project;Extended Properties=&quot;&quot;" commandType="0"/>
  </connection>
  <connection id="165" xr16:uid="{AA070CE4-ACCC-4151-A4EC-584699997704}" keepAlive="1" name="Connection246" type="5" refreshedVersion="0" background="1">
    <dbPr connection="Provider=Microsoft.Mashup.OleDb.1;Data Source=$Workbook$;Location=MESSA_Project;Extended Properties=&quot;&quot;" commandType="0"/>
  </connection>
  <connection id="166" xr16:uid="{94F3B0B0-8BEF-4D4D-88D0-9845B99A82B3}" keepAlive="1" name="Connection247" type="5" refreshedVersion="0" background="1">
    <dbPr connection="Provider=Microsoft.Mashup.OleDb.1;Data Source=$Workbook$;Location=MESSA_Project;Extended Properties=&quot;&quot;" commandType="0"/>
  </connection>
  <connection id="167" xr16:uid="{60AB9927-F77B-49C6-92FB-1FE1C69C6F8A}" keepAlive="1" name="Connection248" type="5" refreshedVersion="0" background="1">
    <dbPr connection="Provider=Microsoft.Mashup.OleDb.1;Data Source=$Workbook$;Location=MESSA_Project;Extended Properties=&quot;&quot;" commandType="0"/>
  </connection>
  <connection id="168" xr16:uid="{94E0D656-CE8C-4D28-BACF-B5DF78BF0B78}" keepAlive="1" name="Connection249" type="5" refreshedVersion="0" background="1">
    <dbPr connection="Provider=Microsoft.Mashup.OleDb.1;Data Source=$Workbook$;Location=MESSA_Project;Extended Properties=&quot;&quot;" commandType="0"/>
  </connection>
  <connection id="169" xr16:uid="{EB623220-A6FD-413F-9BAE-F50D56AC7A7B}" keepAlive="1" name="Connection25" type="5" refreshedVersion="0" background="1">
    <dbPr connection="Provider=Microsoft.Mashup.OleDb.1;Data Source=$Workbook$;Location=MESSA_Project;Extended Properties=&quot;&quot;" commandType="0"/>
  </connection>
  <connection id="170" xr16:uid="{AFF6E318-88BE-415D-9B19-673C73909434}" keepAlive="1" name="Connection250" type="5" refreshedVersion="0" background="1">
    <dbPr connection="Provider=Microsoft.Mashup.OleDb.1;Data Source=$Workbook$;Location=MESSA_Project;Extended Properties=&quot;&quot;" commandType="0"/>
  </connection>
  <connection id="171" xr16:uid="{CF98F608-BE38-446B-9F97-E1FC5B2B0AAA}" keepAlive="1" name="Connection251" type="5" refreshedVersion="0" background="1">
    <dbPr connection="Provider=Microsoft.Mashup.OleDb.1;Data Source=$Workbook$;Location=MESSA_Project;Extended Properties=&quot;&quot;" commandType="0"/>
  </connection>
  <connection id="172" xr16:uid="{4003F976-EC7B-4646-A8A0-178405AA7A68}" keepAlive="1" name="Connection252" type="5" refreshedVersion="0" background="1">
    <dbPr connection="Provider=Microsoft.Mashup.OleDb.1;Data Source=$Workbook$;Location=MESSA_Project;Extended Properties=&quot;&quot;" commandType="0"/>
  </connection>
  <connection id="173" xr16:uid="{61B7AC20-0EA8-4674-BD38-890A7D77E08C}" keepAlive="1" name="Connection253" type="5" refreshedVersion="0" background="1">
    <dbPr connection="Provider=Microsoft.Mashup.OleDb.1;Data Source=$Workbook$;Location=MESSA_Project;Extended Properties=&quot;&quot;" commandType="0"/>
  </connection>
  <connection id="174" xr16:uid="{DD21DC00-C40E-4ED8-A40C-2219BAD001C0}" keepAlive="1" name="Connection254" type="5" refreshedVersion="0" background="1">
    <dbPr connection="Provider=Microsoft.Mashup.OleDb.1;Data Source=$Workbook$;Location=MESSA_Project;Extended Properties=&quot;&quot;" commandType="0"/>
  </connection>
  <connection id="175" xr16:uid="{E12D5C19-9514-43DB-A679-77405FA70C09}" keepAlive="1" name="Connection255" type="5" refreshedVersion="0" background="1">
    <dbPr connection="Provider=Microsoft.Mashup.OleDb.1;Data Source=$Workbook$;Location=MESSA_Project;Extended Properties=&quot;&quot;" commandType="0"/>
  </connection>
  <connection id="176" xr16:uid="{6FF65807-F520-40F9-A72E-E3E6FE4DC81F}" keepAlive="1" name="Connection256" type="5" refreshedVersion="0" background="1">
    <dbPr connection="Provider=Microsoft.Mashup.OleDb.1;Data Source=$Workbook$;Location=MESSA_Project;Extended Properties=&quot;&quot;" commandType="0"/>
  </connection>
  <connection id="177" xr16:uid="{13A60CBB-0CA9-45DD-85E5-6EBE6E72530E}" keepAlive="1" name="Connection257" type="5" refreshedVersion="0" background="1">
    <dbPr connection="Provider=Microsoft.Mashup.OleDb.1;Data Source=$Workbook$;Location=MESSA_Project;Extended Properties=&quot;&quot;" commandType="0"/>
  </connection>
  <connection id="178" xr16:uid="{39AA5A4D-C098-4C70-B3BF-AD9412B39E09}" keepAlive="1" name="Connection258" type="5" refreshedVersion="0" background="1">
    <dbPr connection="Provider=Microsoft.Mashup.OleDb.1;Data Source=$Workbook$;Location=MESSA_Project;Extended Properties=&quot;&quot;" commandType="0"/>
  </connection>
  <connection id="179" xr16:uid="{6A7C055E-9B49-4BA0-965B-B66BD8546242}" keepAlive="1" name="Connection259" type="5" refreshedVersion="0" background="1">
    <dbPr connection="Provider=Microsoft.Mashup.OleDb.1;Data Source=$Workbook$;Location=MESSA_Project;Extended Properties=&quot;&quot;" commandType="0"/>
  </connection>
  <connection id="180" xr16:uid="{71CF191B-B73D-47EE-A4F7-390DEF1BFA68}" keepAlive="1" name="Connection26" type="5" refreshedVersion="0" background="1">
    <dbPr connection="Provider=Microsoft.Mashup.OleDb.1;Data Source=$Workbook$;Location=MESSA_Project;Extended Properties=&quot;&quot;" commandType="0"/>
  </connection>
  <connection id="181" xr16:uid="{C95343E1-6DE9-4D7C-8D53-C14C447C0775}" keepAlive="1" name="Connection260" type="5" refreshedVersion="0" background="1">
    <dbPr connection="Provider=Microsoft.Mashup.OleDb.1;Data Source=$Workbook$;Location=MESSA_Project;Extended Properties=&quot;&quot;" commandType="0"/>
  </connection>
  <connection id="182" xr16:uid="{E06E9B9D-D3E9-4FB7-AB7B-05B7134222EF}" keepAlive="1" name="Connection261" type="5" refreshedVersion="0" background="1">
    <dbPr connection="Provider=Microsoft.Mashup.OleDb.1;Data Source=$Workbook$;Location=MESSA_Project;Extended Properties=&quot;&quot;" commandType="0"/>
  </connection>
  <connection id="183" xr16:uid="{AA2528DD-E617-47D9-ADD0-A5BEE9790150}" keepAlive="1" name="Connection262" type="5" refreshedVersion="0" background="1">
    <dbPr connection="Provider=Microsoft.Mashup.OleDb.1;Data Source=$Workbook$;Location=MESSA_Project;Extended Properties=&quot;&quot;" commandType="0"/>
  </connection>
  <connection id="184" xr16:uid="{51730C5C-E185-4F85-A4CD-6FDD83031D2A}" keepAlive="1" name="Connection263" type="5" refreshedVersion="0" background="1">
    <dbPr connection="Provider=Microsoft.Mashup.OleDb.1;Data Source=$Workbook$;Location=MESSA_Project;Extended Properties=&quot;&quot;" commandType="0"/>
  </connection>
  <connection id="185" xr16:uid="{F666A0AB-AF30-42A8-AF0E-F295611B5E2D}" keepAlive="1" name="Connection264" type="5" refreshedVersion="0" background="1">
    <dbPr connection="Provider=Microsoft.Mashup.OleDb.1;Data Source=$Workbook$;Location=MESSA_Project;Extended Properties=&quot;&quot;" commandType="0"/>
  </connection>
  <connection id="186" xr16:uid="{7405FB40-2566-4E0C-AB6E-F6DD0A273828}" keepAlive="1" name="Connection265" type="5" refreshedVersion="0" background="1">
    <dbPr connection="Provider=Microsoft.Mashup.OleDb.1;Data Source=$Workbook$;Location=MESSA_Project;Extended Properties=&quot;&quot;" commandType="0"/>
  </connection>
  <connection id="187" xr16:uid="{3017CD9D-F82F-4A19-9893-B1A126F33AC4}" keepAlive="1" name="Connection266" type="5" refreshedVersion="0" background="1">
    <dbPr connection="Provider=Microsoft.Mashup.OleDb.1;Data Source=$Workbook$;Location=MESSA_Project;Extended Properties=&quot;&quot;" commandType="0"/>
  </connection>
  <connection id="188" xr16:uid="{33DDED78-2E8B-438F-B7B3-B658A9351D9F}" keepAlive="1" name="Connection267" type="5" refreshedVersion="0" background="1">
    <dbPr connection="Provider=Microsoft.Mashup.OleDb.1;Data Source=$Workbook$;Location=MESSA_Project;Extended Properties=&quot;&quot;" commandType="0"/>
  </connection>
  <connection id="189" xr16:uid="{F46BC84B-AC21-4F2A-9A35-FCBB1EB451CD}" keepAlive="1" name="Connection268" type="5" refreshedVersion="0" background="1">
    <dbPr connection="Provider=Microsoft.Mashup.OleDb.1;Data Source=$Workbook$;Location=MESSA_Project;Extended Properties=&quot;&quot;" commandType="0"/>
  </connection>
  <connection id="190" xr16:uid="{FDF4102A-59BA-42D3-A700-1C341236F415}" keepAlive="1" name="Connection269" type="5" refreshedVersion="0" background="1">
    <dbPr connection="Provider=Microsoft.Mashup.OleDb.1;Data Source=$Workbook$;Location=MESSA_Project;Extended Properties=&quot;&quot;" commandType="0"/>
  </connection>
  <connection id="191" xr16:uid="{B28C2EEA-C8EC-4EEE-9DD0-2EFED7A05FF8}" keepAlive="1" name="Connection27" type="5" refreshedVersion="0" background="1">
    <dbPr connection="Provider=Microsoft.Mashup.OleDb.1;Data Source=$Workbook$;Location=MESSA_Project;Extended Properties=&quot;&quot;" commandType="0"/>
  </connection>
  <connection id="192" xr16:uid="{7B72A24A-F3EA-4BCE-A9FD-19676300C082}" keepAlive="1" name="Connection270" type="5" refreshedVersion="0" background="1">
    <dbPr connection="Provider=Microsoft.Mashup.OleDb.1;Data Source=$Workbook$;Location=MESSA_Project;Extended Properties=&quot;&quot;" commandType="0"/>
  </connection>
  <connection id="193" xr16:uid="{7C130B12-1E9E-499C-8A01-4C45ACE9135D}" keepAlive="1" name="Connection271" type="5" refreshedVersion="0" background="1">
    <dbPr connection="Provider=Microsoft.Mashup.OleDb.1;Data Source=$Workbook$;Location=MESSA_Project;Extended Properties=&quot;&quot;" commandType="0"/>
  </connection>
  <connection id="194" xr16:uid="{5EEC17D2-0DA8-461D-AA38-CEBC19D514D3}" keepAlive="1" name="Connection272" type="5" refreshedVersion="0" background="1">
    <dbPr connection="Provider=Microsoft.Mashup.OleDb.1;Data Source=$Workbook$;Location=MESSA_Project;Extended Properties=&quot;&quot;" commandType="0"/>
  </connection>
  <connection id="195" xr16:uid="{6F7572AE-670F-4874-AA09-F8CDC44F5D85}" keepAlive="1" name="Connection273" type="5" refreshedVersion="0" background="1">
    <dbPr connection="Provider=Microsoft.Mashup.OleDb.1;Data Source=$Workbook$;Location=MESSA_Project;Extended Properties=&quot;&quot;" commandType="0"/>
  </connection>
  <connection id="196" xr16:uid="{44FA382B-E29F-4BAE-BF89-E57E3E9BF1A2}" keepAlive="1" name="Connection274" type="5" refreshedVersion="0" background="1">
    <dbPr connection="Provider=Microsoft.Mashup.OleDb.1;Data Source=$Workbook$;Location=MESSA_Project;Extended Properties=&quot;&quot;" commandType="0"/>
  </connection>
  <connection id="197" xr16:uid="{BEF65987-8783-43FB-B4FB-3E2CBEE334E4}" keepAlive="1" name="Connection275" type="5" refreshedVersion="0" background="1">
    <dbPr connection="Provider=Microsoft.Mashup.OleDb.1;Data Source=$Workbook$;Location=MESSA_Project;Extended Properties=&quot;&quot;" commandType="0"/>
  </connection>
  <connection id="198" xr16:uid="{6EE7A01C-446D-4707-BAE2-8BCCAA291FA8}" keepAlive="1" name="Connection276" type="5" refreshedVersion="0" background="1">
    <dbPr connection="Provider=Microsoft.Mashup.OleDb.1;Data Source=$Workbook$;Location=MESSA_Project;Extended Properties=&quot;&quot;" commandType="0"/>
  </connection>
  <connection id="199" xr16:uid="{D439F2A2-C380-4F9D-B2A4-5B6AEE6B2DAC}" keepAlive="1" name="Connection277" type="5" refreshedVersion="0" background="1">
    <dbPr connection="Provider=Microsoft.Mashup.OleDb.1;Data Source=$Workbook$;Location=MESSA_Project;Extended Properties=&quot;&quot;" commandType="0"/>
  </connection>
  <connection id="200" xr16:uid="{93999B54-BD98-4F39-9D4A-5BB9479DA04F}" keepAlive="1" name="Connection278" type="5" refreshedVersion="0" background="1">
    <dbPr connection="Provider=Microsoft.Mashup.OleDb.1;Data Source=$Workbook$;Location=MESSA_Project;Extended Properties=&quot;&quot;" commandType="0"/>
  </connection>
  <connection id="201" xr16:uid="{A1E08A82-A4EA-4C7B-9C55-AC209AB2290F}" keepAlive="1" name="Connection279" type="5" refreshedVersion="0" background="1">
    <dbPr connection="Provider=Microsoft.Mashup.OleDb.1;Data Source=$Workbook$;Location=MESSA_Project;Extended Properties=&quot;&quot;" commandType="0"/>
  </connection>
  <connection id="202" xr16:uid="{D9D6EE53-8DE8-4423-9D10-526A6161B60E}" keepAlive="1" name="Connection28" type="5" refreshedVersion="0" background="1">
    <dbPr connection="Provider=Microsoft.Mashup.OleDb.1;Data Source=$Workbook$;Location=MESSA_Project;Extended Properties=&quot;&quot;" commandType="0"/>
  </connection>
  <connection id="203" xr16:uid="{3EB12749-233B-415D-8A0F-6FAC978336B7}" keepAlive="1" name="Connection280" type="5" refreshedVersion="0" background="1">
    <dbPr connection="Provider=Microsoft.Mashup.OleDb.1;Data Source=$Workbook$;Location=MESSA_Project;Extended Properties=&quot;&quot;" commandType="0"/>
  </connection>
  <connection id="204" xr16:uid="{232EEE51-F171-437E-B57F-8E192ECBD04D}" keepAlive="1" name="Connection281" type="5" refreshedVersion="0" background="1">
    <dbPr connection="Provider=Microsoft.Mashup.OleDb.1;Data Source=$Workbook$;Location=MESSA_Project;Extended Properties=&quot;&quot;" commandType="0"/>
  </connection>
  <connection id="205" xr16:uid="{1CD231A7-E0C9-4782-A5D2-205BBE1CB511}" keepAlive="1" name="Connection282" type="5" refreshedVersion="0" background="1">
    <dbPr connection="Provider=Microsoft.Mashup.OleDb.1;Data Source=$Workbook$;Location=MESSA_Project;Extended Properties=&quot;&quot;" commandType="0"/>
  </connection>
  <connection id="206" xr16:uid="{59955751-8632-44F9-9C7D-0A36711CEF61}" keepAlive="1" name="Connection283" type="5" refreshedVersion="0" background="1">
    <dbPr connection="Provider=Microsoft.Mashup.OleDb.1;Data Source=$Workbook$;Location=MESSA_Project;Extended Properties=&quot;&quot;" commandType="0"/>
  </connection>
  <connection id="207" xr16:uid="{25CF1D04-5D8A-4887-8877-2EFD193C94C9}" keepAlive="1" name="Connection284" type="5" refreshedVersion="0" background="1">
    <dbPr connection="Provider=Microsoft.Mashup.OleDb.1;Data Source=$Workbook$;Location=MESSA_Project;Extended Properties=&quot;&quot;" commandType="0"/>
  </connection>
  <connection id="208" xr16:uid="{F2A39893-3578-401F-B6F2-B6DBFB0DCF30}" keepAlive="1" name="Connection285" type="5" refreshedVersion="0" background="1">
    <dbPr connection="Provider=Microsoft.Mashup.OleDb.1;Data Source=$Workbook$;Location=MESSA_Project;Extended Properties=&quot;&quot;" commandType="0"/>
  </connection>
  <connection id="209" xr16:uid="{6579C9E3-A3F1-4A99-89C6-401C82786C58}" keepAlive="1" name="Connection286" type="5" refreshedVersion="0" background="1">
    <dbPr connection="Provider=Microsoft.Mashup.OleDb.1;Data Source=$Workbook$;Location=MESSA_Project;Extended Properties=&quot;&quot;" commandType="0"/>
  </connection>
  <connection id="210" xr16:uid="{926E42C5-0041-447E-B1F8-7D5D6F65672C}" keepAlive="1" name="Connection287" type="5" refreshedVersion="0" background="1">
    <dbPr connection="Provider=Microsoft.Mashup.OleDb.1;Data Source=$Workbook$;Location=MESSA_Project;Extended Properties=&quot;&quot;" commandType="0"/>
  </connection>
  <connection id="211" xr16:uid="{916FAAB5-00D7-4B3B-AC9A-C6583CD10743}" keepAlive="1" name="Connection288" type="5" refreshedVersion="0" background="1">
    <dbPr connection="Provider=Microsoft.Mashup.OleDb.1;Data Source=$Workbook$;Location=MESSA_Project;Extended Properties=&quot;&quot;" commandType="0"/>
  </connection>
  <connection id="212" xr16:uid="{85372A41-377D-4824-B663-185507BC2CDE}" keepAlive="1" name="Connection289" type="5" refreshedVersion="0" background="1">
    <dbPr connection="Provider=Microsoft.Mashup.OleDb.1;Data Source=$Workbook$;Location=MESSA_Project;Extended Properties=&quot;&quot;" commandType="0"/>
  </connection>
  <connection id="213" xr16:uid="{C3046353-2745-4379-8CD1-12236DDA7213}" keepAlive="1" name="Connection29" type="5" refreshedVersion="0" background="1">
    <dbPr connection="Provider=Microsoft.Mashup.OleDb.1;Data Source=$Workbook$;Location=MESSA_Project;Extended Properties=&quot;&quot;" commandType="0"/>
  </connection>
  <connection id="214" xr16:uid="{0BD4B4AD-0CF7-47C5-B7FA-511F5E53D5AE}" keepAlive="1" name="Connection290" type="5" refreshedVersion="0" background="1">
    <dbPr connection="Provider=Microsoft.Mashup.OleDb.1;Data Source=$Workbook$;Location=MESSA_Project;Extended Properties=&quot;&quot;" commandType="0"/>
  </connection>
  <connection id="215" xr16:uid="{544D6100-FD3E-479B-A45E-080E5540855B}" keepAlive="1" name="Connection291" type="5" refreshedVersion="0" background="1">
    <dbPr connection="Provider=Microsoft.Mashup.OleDb.1;Data Source=$Workbook$;Location=MESSA_Project;Extended Properties=&quot;&quot;" commandType="0"/>
  </connection>
  <connection id="216" xr16:uid="{FFA36339-B346-47F8-B2F5-8C32BEDDC0E6}" keepAlive="1" name="Connection292" type="5" refreshedVersion="0" background="1">
    <dbPr connection="Provider=Microsoft.Mashup.OleDb.1;Data Source=$Workbook$;Location=MESSA_Project;Extended Properties=&quot;&quot;" commandType="0"/>
  </connection>
  <connection id="217" xr16:uid="{C0127CDA-34A2-42D7-9490-4CE78FCBE915}" keepAlive="1" name="Connection293" type="5" refreshedVersion="0" background="1">
    <dbPr connection="Provider=Microsoft.Mashup.OleDb.1;Data Source=$Workbook$;Location=MESSA_Project;Extended Properties=&quot;&quot;" commandType="0"/>
  </connection>
  <connection id="218" xr16:uid="{876E3C1A-1042-4086-918C-04F8F06C4909}" keepAlive="1" name="Connection294" type="5" refreshedVersion="0" background="1">
    <dbPr connection="Provider=Microsoft.Mashup.OleDb.1;Data Source=$Workbook$;Location=MESSA_Project;Extended Properties=&quot;&quot;" commandType="0"/>
  </connection>
  <connection id="219" xr16:uid="{DFCBE871-9CC0-4E70-BDB4-2C7FA27168A2}" keepAlive="1" name="Connection295" type="5" refreshedVersion="0" background="1">
    <dbPr connection="Provider=Microsoft.Mashup.OleDb.1;Data Source=$Workbook$;Location=MESSA_Project;Extended Properties=&quot;&quot;" commandType="0"/>
  </connection>
  <connection id="220" xr16:uid="{951215EF-E02D-427B-9AAE-1FCA294BDCEA}" keepAlive="1" name="Connection296" type="5" refreshedVersion="0" background="1">
    <dbPr connection="Provider=Microsoft.Mashup.OleDb.1;Data Source=$Workbook$;Location=MESSA_Project;Extended Properties=&quot;&quot;" commandType="0"/>
  </connection>
  <connection id="221" xr16:uid="{E82D0D9A-60E2-42B0-91F2-D4257AB5C11B}" keepAlive="1" name="Connection297" type="5" refreshedVersion="0" background="1">
    <dbPr connection="Provider=Microsoft.Mashup.OleDb.1;Data Source=$Workbook$;Location=MESSA_Project;Extended Properties=&quot;&quot;" commandType="0"/>
  </connection>
  <connection id="222" xr16:uid="{D5B0BB6D-3553-4658-86B2-EE7B9E4C37FB}" keepAlive="1" name="Connection298" type="5" refreshedVersion="0" background="1">
    <dbPr connection="Provider=Microsoft.Mashup.OleDb.1;Data Source=$Workbook$;Location=MESSA_Project;Extended Properties=&quot;&quot;" commandType="0"/>
  </connection>
  <connection id="223" xr16:uid="{0C97BCBC-C623-49C5-9EC9-30CFBA3093C1}" keepAlive="1" name="Connection299" type="5" refreshedVersion="0" background="1">
    <dbPr connection="Provider=Microsoft.Mashup.OleDb.1;Data Source=$Workbook$;Location=MESSA_Project;Extended Properties=&quot;&quot;" commandType="0"/>
  </connection>
  <connection id="224" xr16:uid="{C4395CF1-CA47-45F0-8B89-DE21EEBAF88C}" keepAlive="1" name="Connection3" type="5" refreshedVersion="0" background="1">
    <dbPr connection="Provider=Microsoft.Mashup.OleDb.1;Data Source=$Workbook$;Location=MESSA_Project;Extended Properties=&quot;&quot;" commandType="0"/>
  </connection>
  <connection id="225" xr16:uid="{0C1A53DA-4FA8-4D97-AEE6-7B4C5C70F038}" keepAlive="1" name="Connection30" type="5" refreshedVersion="0" background="1">
    <dbPr connection="Provider=Microsoft.Mashup.OleDb.1;Data Source=$Workbook$;Location=MESSA_Project;Extended Properties=&quot;&quot;" commandType="0"/>
  </connection>
  <connection id="226" xr16:uid="{26B55B73-6034-4DA3-875A-BF048BB31DC9}" keepAlive="1" name="Connection300" type="5" refreshedVersion="0" background="1">
    <dbPr connection="Provider=Microsoft.Mashup.OleDb.1;Data Source=$Workbook$;Location=MESSA_Project;Extended Properties=&quot;&quot;" commandType="0"/>
  </connection>
  <connection id="227" xr16:uid="{93A1A1CE-CC9B-4DC9-9FA6-E1B06AAC5F62}" keepAlive="1" name="Connection301" type="5" refreshedVersion="0" background="1">
    <dbPr connection="Provider=Microsoft.Mashup.OleDb.1;Data Source=$Workbook$;Location=MESSA_Project;Extended Properties=&quot;&quot;" commandType="0"/>
  </connection>
  <connection id="228" xr16:uid="{57FF9B79-56C9-4C15-91BA-38950415993E}" keepAlive="1" name="Connection302" type="5" refreshedVersion="0" background="1">
    <dbPr connection="Provider=Microsoft.Mashup.OleDb.1;Data Source=$Workbook$;Location=MESSA_Project;Extended Properties=&quot;&quot;" commandType="0"/>
  </connection>
  <connection id="229" xr16:uid="{1E999E31-6602-43B8-952E-33303356AF14}" keepAlive="1" name="Connection303" type="5" refreshedVersion="0" background="1">
    <dbPr connection="Provider=Microsoft.Mashup.OleDb.1;Data Source=$Workbook$;Location=MESSA_Project;Extended Properties=&quot;&quot;" commandType="0"/>
  </connection>
  <connection id="230" xr16:uid="{034FAD44-DCD6-4D09-A7CA-8DFE396A8C25}" keepAlive="1" name="Connection304" type="5" refreshedVersion="0" background="1">
    <dbPr connection="Provider=Microsoft.Mashup.OleDb.1;Data Source=$Workbook$;Location=MESSA_Project;Extended Properties=&quot;&quot;" commandType="0"/>
  </connection>
  <connection id="231" xr16:uid="{CA214F63-3360-4E40-9FF4-572B2C22613A}" keepAlive="1" name="Connection305" type="5" refreshedVersion="0" background="1">
    <dbPr connection="Provider=Microsoft.Mashup.OleDb.1;Data Source=$Workbook$;Location=MESSA_Project;Extended Properties=&quot;&quot;" commandType="0"/>
  </connection>
  <connection id="232" xr16:uid="{248573C5-5AF3-41AC-B7C8-2321814346C2}" keepAlive="1" name="Connection306" type="5" refreshedVersion="0" background="1">
    <dbPr connection="Provider=Microsoft.Mashup.OleDb.1;Data Source=$Workbook$;Location=MESSA_Project;Extended Properties=&quot;&quot;" commandType="0"/>
  </connection>
  <connection id="233" xr16:uid="{39F383D5-4006-4899-94D9-3E042219D0FB}" keepAlive="1" name="Connection307" type="5" refreshedVersion="0" background="1">
    <dbPr connection="Provider=Microsoft.Mashup.OleDb.1;Data Source=$Workbook$;Location=MESSA_Project;Extended Properties=&quot;&quot;" commandType="0"/>
  </connection>
  <connection id="234" xr16:uid="{975813D1-C576-46C7-9513-17CB34F81466}" keepAlive="1" name="Connection308" type="5" refreshedVersion="0" background="1">
    <dbPr connection="Provider=Microsoft.Mashup.OleDb.1;Data Source=$Workbook$;Location=MESSA_Project;Extended Properties=&quot;&quot;" commandType="0"/>
  </connection>
  <connection id="235" xr16:uid="{ACA86460-CABF-44AB-9376-7298D3F8D4D0}" keepAlive="1" name="Connection309" type="5" refreshedVersion="0" background="1">
    <dbPr connection="Provider=Microsoft.Mashup.OleDb.1;Data Source=$Workbook$;Location=MESSA_Project;Extended Properties=&quot;&quot;" commandType="0"/>
  </connection>
  <connection id="236" xr16:uid="{8A01E353-9431-4002-B0B5-9030F851B0BF}" keepAlive="1" name="Connection31" type="5" refreshedVersion="0" background="1">
    <dbPr connection="Provider=Microsoft.Mashup.OleDb.1;Data Source=$Workbook$;Location=MESSA_Project;Extended Properties=&quot;&quot;" commandType="0"/>
  </connection>
  <connection id="237" xr16:uid="{F23B6C9B-622B-4B48-AB20-8C534C29DD1B}" keepAlive="1" name="Connection310" type="5" refreshedVersion="0" background="1">
    <dbPr connection="Provider=Microsoft.Mashup.OleDb.1;Data Source=$Workbook$;Location=MESSA_Project;Extended Properties=&quot;&quot;" commandType="0"/>
  </connection>
  <connection id="238" xr16:uid="{EA5FC887-8AC2-4D5F-B79D-1A3B7E06E369}" keepAlive="1" name="Connection311" type="5" refreshedVersion="0" background="1">
    <dbPr connection="Provider=Microsoft.Mashup.OleDb.1;Data Source=$Workbook$;Location=MESSA_Project;Extended Properties=&quot;&quot;" commandType="0"/>
  </connection>
  <connection id="239" xr16:uid="{F9578635-5B90-4C21-844D-362937E7E2FF}" keepAlive="1" name="Connection312" type="5" refreshedVersion="0" background="1">
    <dbPr connection="Provider=Microsoft.Mashup.OleDb.1;Data Source=$Workbook$;Location=MESSA_Project;Extended Properties=&quot;&quot;" commandType="0"/>
  </connection>
  <connection id="240" xr16:uid="{A7618F1F-0B76-4198-897D-DE8B827FFBAC}" keepAlive="1" name="Connection313" type="5" refreshedVersion="0" background="1">
    <dbPr connection="Provider=Microsoft.Mashup.OleDb.1;Data Source=$Workbook$;Location=MESSA_Project;Extended Properties=&quot;&quot;" commandType="0"/>
  </connection>
  <connection id="241" xr16:uid="{8282E637-8ED6-458C-A783-9DDEAF67D5B3}" keepAlive="1" name="Connection314" type="5" refreshedVersion="0" background="1">
    <dbPr connection="Provider=Microsoft.Mashup.OleDb.1;Data Source=$Workbook$;Location=MESSA_Project;Extended Properties=&quot;&quot;" commandType="0"/>
  </connection>
  <connection id="242" xr16:uid="{8764ECF7-EFE4-47F8-B730-44F7D9DD8716}" keepAlive="1" name="Connection315" type="5" refreshedVersion="0" background="1">
    <dbPr connection="Provider=Microsoft.Mashup.OleDb.1;Data Source=$Workbook$;Location=MESSA_Project;Extended Properties=&quot;&quot;" commandType="0"/>
  </connection>
  <connection id="243" xr16:uid="{A1EEEBF5-2070-4848-BF94-D62D07E08E7A}" keepAlive="1" name="Connection316" type="5" refreshedVersion="0" background="1">
    <dbPr connection="Provider=Microsoft.Mashup.OleDb.1;Data Source=$Workbook$;Location=MESSA_Project;Extended Properties=&quot;&quot;" commandType="0"/>
  </connection>
  <connection id="244" xr16:uid="{A51F5064-CAD3-40C1-8302-F65F1796C142}" keepAlive="1" name="Connection317" type="5" refreshedVersion="0" background="1">
    <dbPr connection="Provider=Microsoft.Mashup.OleDb.1;Data Source=$Workbook$;Location=MESSA_Project;Extended Properties=&quot;&quot;" commandType="0"/>
  </connection>
  <connection id="245" xr16:uid="{D4C3B72E-6EFB-417E-94E0-83C0E2306135}" keepAlive="1" name="Connection318" type="5" refreshedVersion="0" background="1">
    <dbPr connection="Provider=Microsoft.Mashup.OleDb.1;Data Source=$Workbook$;Location=MESSA_Project;Extended Properties=&quot;&quot;" commandType="0"/>
  </connection>
  <connection id="246" xr16:uid="{E8FBCD2E-DF16-48AE-B4CB-A92413E9454E}" keepAlive="1" name="Connection319" type="5" refreshedVersion="0" background="1">
    <dbPr connection="Provider=Microsoft.Mashup.OleDb.1;Data Source=$Workbook$;Location=MESSA_Project;Extended Properties=&quot;&quot;" commandType="0"/>
  </connection>
  <connection id="247" xr16:uid="{6CC68026-655F-4B1A-9937-1880D86C65D1}" keepAlive="1" name="Connection32" type="5" refreshedVersion="0" background="1">
    <dbPr connection="Provider=Microsoft.Mashup.OleDb.1;Data Source=$Workbook$;Location=MESSA_Project;Extended Properties=&quot;&quot;" commandType="0"/>
  </connection>
  <connection id="248" xr16:uid="{389B0ECA-FBAB-4EE6-91A8-9F2F50D1B81E}" keepAlive="1" name="Connection320" type="5" refreshedVersion="0" background="1">
    <dbPr connection="Provider=Microsoft.Mashup.OleDb.1;Data Source=$Workbook$;Location=MESSA_Project;Extended Properties=&quot;&quot;" commandType="0"/>
  </connection>
  <connection id="249" xr16:uid="{4CE7BFF2-673A-46AD-82F3-924D41E27EAE}" keepAlive="1" name="Connection321" type="5" refreshedVersion="0" background="1">
    <dbPr connection="Provider=Microsoft.Mashup.OleDb.1;Data Source=$Workbook$;Location=MESSA_Project;Extended Properties=&quot;&quot;" commandType="0"/>
  </connection>
  <connection id="250" xr16:uid="{BED7C8D9-91B9-42E8-B0C1-EA1F741314A6}" keepAlive="1" name="Connection322" type="5" refreshedVersion="0" background="1">
    <dbPr connection="Provider=Microsoft.Mashup.OleDb.1;Data Source=$Workbook$;Location=MESSA_Project;Extended Properties=&quot;&quot;" commandType="0"/>
  </connection>
  <connection id="251" xr16:uid="{CC127D59-8964-4AA1-BDBC-4D4954D8B5E7}" keepAlive="1" name="Connection323" type="5" refreshedVersion="0" background="1">
    <dbPr connection="Provider=Microsoft.Mashup.OleDb.1;Data Source=$Workbook$;Location=MESSA_Project;Extended Properties=&quot;&quot;" commandType="0"/>
  </connection>
  <connection id="252" xr16:uid="{9BAE6D5F-B582-4FA5-8517-98A76074026D}" keepAlive="1" name="Connection324" type="5" refreshedVersion="0" background="1">
    <dbPr connection="Provider=Microsoft.Mashup.OleDb.1;Data Source=$Workbook$;Location=MESSA_Project;Extended Properties=&quot;&quot;" commandType="0"/>
  </connection>
  <connection id="253" xr16:uid="{78A2A87F-84B9-4216-86E5-6084A4F8CC57}" keepAlive="1" name="Connection325" type="5" refreshedVersion="0" background="1">
    <dbPr connection="Provider=Microsoft.Mashup.OleDb.1;Data Source=$Workbook$;Location=MESSA_Project;Extended Properties=&quot;&quot;" commandType="0"/>
  </connection>
  <connection id="254" xr16:uid="{3A78E09B-5F72-40BA-97D1-D1DB0E5551DF}" keepAlive="1" name="Connection326" type="5" refreshedVersion="0" background="1">
    <dbPr connection="Provider=Microsoft.Mashup.OleDb.1;Data Source=$Workbook$;Location=MESSA_Project;Extended Properties=&quot;&quot;" commandType="0"/>
  </connection>
  <connection id="255" xr16:uid="{639E4CDD-108B-4996-9570-FD882A05C885}" keepAlive="1" name="Connection327" type="5" refreshedVersion="0" background="1">
    <dbPr connection="Provider=Microsoft.Mashup.OleDb.1;Data Source=$Workbook$;Location=MESSA_Project;Extended Properties=&quot;&quot;" commandType="0"/>
  </connection>
  <connection id="256" xr16:uid="{523FB173-6249-4EC6-ABE3-E1CBB6437322}" keepAlive="1" name="Connection328" type="5" refreshedVersion="0" background="1">
    <dbPr connection="Provider=Microsoft.Mashup.OleDb.1;Data Source=$Workbook$;Location=MESSA_Project;Extended Properties=&quot;&quot;" commandType="0"/>
  </connection>
  <connection id="257" xr16:uid="{B286228A-0028-4942-A9F6-E3D33ACEEAA0}" keepAlive="1" name="Connection329" type="5" refreshedVersion="0" background="1">
    <dbPr connection="Provider=Microsoft.Mashup.OleDb.1;Data Source=$Workbook$;Location=MESSA_Project;Extended Properties=&quot;&quot;" commandType="0"/>
  </connection>
  <connection id="258" xr16:uid="{591AEFAF-75B3-463B-B8A8-53821FCEA849}" keepAlive="1" name="Connection33" type="5" refreshedVersion="0" background="1">
    <dbPr connection="Provider=Microsoft.Mashup.OleDb.1;Data Source=$Workbook$;Location=MESSA_Project;Extended Properties=&quot;&quot;" commandType="0"/>
  </connection>
  <connection id="259" xr16:uid="{48A940A9-247A-49AC-9053-03A79B8D83F2}" keepAlive="1" name="Connection330" type="5" refreshedVersion="0" background="1">
    <dbPr connection="Provider=Microsoft.Mashup.OleDb.1;Data Source=$Workbook$;Location=MESSA_Project;Extended Properties=&quot;&quot;" commandType="0"/>
  </connection>
  <connection id="260" xr16:uid="{E9B06E06-E793-45AF-9D84-BFC9829D7AAE}" keepAlive="1" name="Connection331" type="5" refreshedVersion="0" background="1">
    <dbPr connection="Provider=Microsoft.Mashup.OleDb.1;Data Source=$Workbook$;Location=MESSA_Project;Extended Properties=&quot;&quot;" commandType="0"/>
  </connection>
  <connection id="261" xr16:uid="{727AB3D8-925A-4507-9E6B-B252BA51D494}" keepAlive="1" name="Connection332" type="5" refreshedVersion="0" background="1">
    <dbPr connection="Provider=Microsoft.Mashup.OleDb.1;Data Source=$Workbook$;Location=MESSA_Project;Extended Properties=&quot;&quot;" commandType="0"/>
  </connection>
  <connection id="262" xr16:uid="{5F2515B3-5496-43F1-A8CF-BB919F6D37DD}" keepAlive="1" name="Connection333" type="5" refreshedVersion="0" background="1">
    <dbPr connection="Provider=Microsoft.Mashup.OleDb.1;Data Source=$Workbook$;Location=MESSA_Project;Extended Properties=&quot;&quot;" commandType="0"/>
  </connection>
  <connection id="263" xr16:uid="{1248C886-B05E-4388-B84E-3C834045136F}" keepAlive="1" name="Connection334" type="5" refreshedVersion="0" background="1">
    <dbPr connection="Provider=Microsoft.Mashup.OleDb.1;Data Source=$Workbook$;Location=MESSA_Project;Extended Properties=&quot;&quot;" commandType="0"/>
  </connection>
  <connection id="264" xr16:uid="{F86DB49C-D6C9-4CEB-A14E-088F135BB805}" keepAlive="1" name="Connection335" type="5" refreshedVersion="0" background="1">
    <dbPr connection="Provider=Microsoft.Mashup.OleDb.1;Data Source=$Workbook$;Location=MESSA_Project;Extended Properties=&quot;&quot;" commandType="0"/>
  </connection>
  <connection id="265" xr16:uid="{57A78824-A675-45CA-B5E6-6A07F617245E}" keepAlive="1" name="Connection336" type="5" refreshedVersion="0" background="1">
    <dbPr connection="Provider=Microsoft.Mashup.OleDb.1;Data Source=$Workbook$;Location=MESSA_Project;Extended Properties=&quot;&quot;" commandType="0"/>
  </connection>
  <connection id="266" xr16:uid="{49B47F61-783A-457D-AB67-393845F7F9E6}" keepAlive="1" name="Connection337" type="5" refreshedVersion="0" background="1">
    <dbPr connection="Provider=Microsoft.Mashup.OleDb.1;Data Source=$Workbook$;Location=MESSA_Project;Extended Properties=&quot;&quot;" commandType="0"/>
  </connection>
  <connection id="267" xr16:uid="{222AECAB-7D61-457D-BCBC-026D51CA4957}" keepAlive="1" name="Connection338" type="5" refreshedVersion="0" background="1">
    <dbPr connection="Provider=Microsoft.Mashup.OleDb.1;Data Source=$Workbook$;Location=MESSA_Project;Extended Properties=&quot;&quot;" commandType="0"/>
  </connection>
  <connection id="268" xr16:uid="{B8771102-CF93-45A6-BB16-97C70D5F99D2}" keepAlive="1" name="Connection339" type="5" refreshedVersion="0" background="1">
    <dbPr connection="Provider=Microsoft.Mashup.OleDb.1;Data Source=$Workbook$;Location=MESSA_Project;Extended Properties=&quot;&quot;" commandType="0"/>
  </connection>
  <connection id="269" xr16:uid="{5FF14A4A-5911-4580-B35E-76F4022976E5}" keepAlive="1" name="Connection34" type="5" refreshedVersion="0" background="1">
    <dbPr connection="Provider=Microsoft.Mashup.OleDb.1;Data Source=$Workbook$;Location=MESSA_Project;Extended Properties=&quot;&quot;" commandType="0"/>
  </connection>
  <connection id="270" xr16:uid="{30767E62-3343-486B-BDCC-65B9A44AE5D5}" keepAlive="1" name="Connection340" type="5" refreshedVersion="0" background="1">
    <dbPr connection="Provider=Microsoft.Mashup.OleDb.1;Data Source=$Workbook$;Location=MESSA_Project;Extended Properties=&quot;&quot;" commandType="0"/>
  </connection>
  <connection id="271" xr16:uid="{10A4392E-B86B-4BE7-B84F-855ADCC73B7C}" keepAlive="1" name="Connection341" type="5" refreshedVersion="0" background="1">
    <dbPr connection="Provider=Microsoft.Mashup.OleDb.1;Data Source=$Workbook$;Location=MESSA_Project;Extended Properties=&quot;&quot;" commandType="0"/>
  </connection>
  <connection id="272" xr16:uid="{281058B5-E52F-4ABD-9E26-2B5159C7D13F}" keepAlive="1" name="Connection342" type="5" refreshedVersion="0" background="1">
    <dbPr connection="Provider=Microsoft.Mashup.OleDb.1;Data Source=$Workbook$;Location=MESSA_Project;Extended Properties=&quot;&quot;" commandType="0"/>
  </connection>
  <connection id="273" xr16:uid="{8132C477-A847-4EB1-B426-DC3E40D454B5}" keepAlive="1" name="Connection343" type="5" refreshedVersion="0" background="1">
    <dbPr connection="Provider=Microsoft.Mashup.OleDb.1;Data Source=$Workbook$;Location=MESSA_Project;Extended Properties=&quot;&quot;" commandType="0"/>
  </connection>
  <connection id="274" xr16:uid="{231AB01B-E71C-4ED7-BF2E-214B22F75539}" keepAlive="1" name="Connection344" type="5" refreshedVersion="0" background="1">
    <dbPr connection="Provider=Microsoft.Mashup.OleDb.1;Data Source=$Workbook$;Location=MESSA_Project;Extended Properties=&quot;&quot;" commandType="0"/>
  </connection>
  <connection id="275" xr16:uid="{31A5B0B9-781B-4264-980B-5B9F26D62E39}" keepAlive="1" name="Connection345" type="5" refreshedVersion="0" background="1">
    <dbPr connection="Provider=Microsoft.Mashup.OleDb.1;Data Source=$Workbook$;Location=MESSA_Project;Extended Properties=&quot;&quot;" commandType="0"/>
  </connection>
  <connection id="276" xr16:uid="{3E791923-1C48-4AD6-BC7D-06DDED84B107}" keepAlive="1" name="Connection346" type="5" refreshedVersion="6" background="1" saveData="1">
    <dbPr connection="Provider=Microsoft.Mashup.OleDb.1;Data Source=$Workbook$;Location=MESSA_Project;Extended Properties=&quot;&quot;" command="SELECT * FROM [MESSA_Project]"/>
  </connection>
  <connection id="277" xr16:uid="{8A427174-BC60-45FC-B214-C4DFBC6BB7D7}" keepAlive="1" name="Connection347" type="5" refreshedVersion="0" background="1">
    <dbPr connection="Provider=Microsoft.Mashup.OleDb.1;Data Source=$Workbook$;Location=MESSA_Project;Extended Properties=&quot;&quot;" commandType="0"/>
  </connection>
  <connection id="278" xr16:uid="{96B46B4B-0074-4597-9BBD-4F7A6231124B}" keepAlive="1" name="Connection348" type="5" refreshedVersion="0" background="1">
    <dbPr connection="Provider=Microsoft.Mashup.OleDb.1;Data Source=$Workbook$;Location=MESSA_Project;Extended Properties=&quot;&quot;" commandType="0"/>
  </connection>
  <connection id="279" xr16:uid="{AF11DAD8-301F-445F-9560-3CAE441A7050}" keepAlive="1" name="Connection349" type="5" refreshedVersion="0" background="1">
    <dbPr connection="Provider=Microsoft.Mashup.OleDb.1;Data Source=$Workbook$;Location=MESSA_Project;Extended Properties=&quot;&quot;" commandType="0"/>
  </connection>
  <connection id="280" xr16:uid="{823FB4E9-2147-4619-9696-1C5FE8412665}" keepAlive="1" name="Connection35" type="5" refreshedVersion="0" background="1">
    <dbPr connection="Provider=Microsoft.Mashup.OleDb.1;Data Source=$Workbook$;Location=MESSA_Project;Extended Properties=&quot;&quot;" commandType="0"/>
  </connection>
  <connection id="281" xr16:uid="{A6F9D45C-D300-4A09-BBA7-595C2B5A201F}" keepAlive="1" name="Connection350" type="5" refreshedVersion="0" background="1">
    <dbPr connection="Provider=Microsoft.Mashup.OleDb.1;Data Source=$Workbook$;Location=MESSA_Project;Extended Properties=&quot;&quot;" commandType="0"/>
  </connection>
  <connection id="282" xr16:uid="{C78AF5FA-B76D-4D32-A459-E2CBAC0F5746}" keepAlive="1" name="Connection351" type="5" refreshedVersion="0" background="1">
    <dbPr connection="Provider=Microsoft.Mashup.OleDb.1;Data Source=$Workbook$;Location=MESSA_Project;Extended Properties=&quot;&quot;" commandType="0"/>
  </connection>
  <connection id="283" xr16:uid="{0676A594-D7FC-4FCD-8A0D-ADF150E22ABE}" keepAlive="1" name="Connection352" type="5" refreshedVersion="0" background="1">
    <dbPr connection="Provider=Microsoft.Mashup.OleDb.1;Data Source=$Workbook$;Location=MESSA_Project;Extended Properties=&quot;&quot;" commandType="0"/>
  </connection>
  <connection id="284" xr16:uid="{001F8D3E-DE92-4B7F-A3FE-5E7F98871D5D}" keepAlive="1" name="Connection353" type="5" refreshedVersion="0" background="1">
    <dbPr connection="Provider=Microsoft.Mashup.OleDb.1;Data Source=$Workbook$;Location=MESSA_Project;Extended Properties=&quot;&quot;" commandType="0"/>
  </connection>
  <connection id="285" xr16:uid="{12982D0A-B9A8-4801-82ED-A396631A4FD9}" keepAlive="1" name="Connection354" type="5" refreshedVersion="6" background="1" saveData="1">
    <dbPr connection="Provider=Microsoft.Mashup.OleDb.1;Data Source=$Workbook$;Location=MESSA_Project;Extended Properties=&quot;&quot;" command="SELECT * FROM [MESSA_Project]"/>
  </connection>
  <connection id="286" xr16:uid="{4437F32A-35D9-4DDD-B610-CD64ADE5C471}" keepAlive="1" name="Connection355" type="5" refreshedVersion="0" background="1">
    <dbPr connection="Provider=Microsoft.Mashup.OleDb.1;Data Source=$Workbook$;Location=MESSA_Project;Extended Properties=&quot;&quot;" commandType="0"/>
  </connection>
  <connection id="287" xr16:uid="{0BB8B1FB-DABF-4239-A357-53ABFE95409D}" keepAlive="1" name="Connection356" type="5" refreshedVersion="0" background="1">
    <dbPr connection="Provider=Microsoft.Mashup.OleDb.1;Data Source=$Workbook$;Location=MESSA_Project;Extended Properties=&quot;&quot;" commandType="0"/>
  </connection>
  <connection id="288" xr16:uid="{E6D1A255-8A1A-4903-837C-72DAC7BAE334}" keepAlive="1" name="Connection357" type="5" refreshedVersion="0" background="1">
    <dbPr connection="Provider=Microsoft.Mashup.OleDb.1;Data Source=$Workbook$;Location=MESSA_Project;Extended Properties=&quot;&quot;" commandType="0"/>
  </connection>
  <connection id="289" xr16:uid="{C5960319-3716-4469-804D-39AE2683ED3A}" keepAlive="1" name="Connection358" type="5" refreshedVersion="0" background="1">
    <dbPr connection="Provider=Microsoft.Mashup.OleDb.1;Data Source=$Workbook$;Location=MESSA_Project;Extended Properties=&quot;&quot;" commandType="0"/>
  </connection>
  <connection id="290" xr16:uid="{DDA02B90-4B6A-4188-A175-E7AD730F81B1}" keepAlive="1" name="Connection359" type="5" refreshedVersion="0" background="1">
    <dbPr connection="Provider=Microsoft.Mashup.OleDb.1;Data Source=$Workbook$;Location=MESSA_Project;Extended Properties=&quot;&quot;" commandType="0"/>
  </connection>
  <connection id="291" xr16:uid="{B7BAB7A2-223B-4BB7-9482-C45A075CBC2C}" keepAlive="1" name="Connection36" type="5" refreshedVersion="0" background="1">
    <dbPr connection="Provider=Microsoft.Mashup.OleDb.1;Data Source=$Workbook$;Location=MESSA_Project;Extended Properties=&quot;&quot;" commandType="0"/>
  </connection>
  <connection id="292" xr16:uid="{B1CE915E-468A-4EF0-8255-9E01C0670F7B}" keepAlive="1" name="Connection360" type="5" refreshedVersion="0" background="1">
    <dbPr connection="Provider=Microsoft.Mashup.OleDb.1;Data Source=$Workbook$;Location=MESSA_Project;Extended Properties=&quot;&quot;" commandType="0"/>
  </connection>
  <connection id="293" xr16:uid="{43FC0C1E-4EF9-4B0E-90AD-C90EA65D3069}" keepAlive="1" name="Connection361" type="5" refreshedVersion="0" background="1">
    <dbPr connection="Provider=Microsoft.Mashup.OleDb.1;Data Source=$Workbook$;Location=MESSA_Project;Extended Properties=&quot;&quot;" commandType="0"/>
  </connection>
  <connection id="294" xr16:uid="{D6020784-F507-423F-9908-88B94629CD06}" keepAlive="1" name="Connection362" type="5" refreshedVersion="0" background="1">
    <dbPr connection="Provider=Microsoft.Mashup.OleDb.1;Data Source=$Workbook$;Location=MESSA_Project;Extended Properties=&quot;&quot;" commandType="0"/>
  </connection>
  <connection id="295" xr16:uid="{75EEB78B-50BB-4AA0-99B7-9265BC90BCEF}" keepAlive="1" name="Connection363" type="5" refreshedVersion="0" background="1">
    <dbPr connection="Provider=Microsoft.Mashup.OleDb.1;Data Source=$Workbook$;Location=MESSA_Project;Extended Properties=&quot;&quot;" commandType="0"/>
  </connection>
  <connection id="296" xr16:uid="{F9E446FB-B8D1-46BD-A1C6-2CAB081D4B43}" keepAlive="1" name="Connection364" type="5" refreshedVersion="0" background="1">
    <dbPr connection="Provider=Microsoft.Mashup.OleDb.1;Data Source=$Workbook$;Location=MESSA_Project;Extended Properties=&quot;&quot;" commandType="0"/>
  </connection>
  <connection id="297" xr16:uid="{E2052471-B486-447C-A0C1-AFDB4CDD942E}" keepAlive="1" name="Connection365" type="5" refreshedVersion="0" background="1">
    <dbPr connection="Provider=Microsoft.Mashup.OleDb.1;Data Source=$Workbook$;Location=MESSA_Project;Extended Properties=&quot;&quot;" commandType="0"/>
  </connection>
  <connection id="298" xr16:uid="{687EAD7C-0ABC-477C-ABD2-7B41FB4AE730}" keepAlive="1" name="Connection366" type="5" refreshedVersion="0" background="1">
    <dbPr connection="Provider=Microsoft.Mashup.OleDb.1;Data Source=$Workbook$;Location=MESSA_Project;Extended Properties=&quot;&quot;" commandType="0"/>
  </connection>
  <connection id="299" xr16:uid="{0400B9B4-09AD-4A70-8BEB-01C8D3B35FE7}" keepAlive="1" name="Connection367" type="5" refreshedVersion="0" background="1">
    <dbPr connection="Provider=Microsoft.Mashup.OleDb.1;Data Source=$Workbook$;Location=MESSA_Project;Extended Properties=&quot;&quot;" commandType="0"/>
  </connection>
  <connection id="300" xr16:uid="{7E30D824-B2DD-40FE-B470-623F6FA159D6}" keepAlive="1" name="Connection368" type="5" refreshedVersion="0" background="1">
    <dbPr connection="Provider=Microsoft.Mashup.OleDb.1;Data Source=$Workbook$;Location=MESSA_Project;Extended Properties=&quot;&quot;" commandType="0"/>
  </connection>
  <connection id="301" xr16:uid="{D1DDE3D2-2F2E-49A3-ACF9-20F2AB890A25}" keepAlive="1" name="Connection369" type="5" refreshedVersion="0" background="1">
    <dbPr connection="Provider=Microsoft.Mashup.OleDb.1;Data Source=$Workbook$;Location=MESSA_Project;Extended Properties=&quot;&quot;" commandType="0"/>
  </connection>
  <connection id="302" xr16:uid="{8F095303-B255-46E9-A8B9-AD4C5D58244C}" keepAlive="1" name="Connection37" type="5" refreshedVersion="0" background="1">
    <dbPr connection="Provider=Microsoft.Mashup.OleDb.1;Data Source=$Workbook$;Location=MESSA_Project;Extended Properties=&quot;&quot;" commandType="0"/>
  </connection>
  <connection id="303" xr16:uid="{87C5AD6A-3DE3-4419-85F1-6AA4DBFCBFB0}" keepAlive="1" name="Connection370" type="5" refreshedVersion="0" background="1">
    <dbPr connection="Provider=Microsoft.Mashup.OleDb.1;Data Source=$Workbook$;Location=MESSA_Project;Extended Properties=&quot;&quot;" commandType="0"/>
  </connection>
  <connection id="304" xr16:uid="{BF47D945-5806-4117-B098-D6CD236E1928}" keepAlive="1" name="Connection371" type="5" refreshedVersion="0" background="1">
    <dbPr connection="Provider=Microsoft.Mashup.OleDb.1;Data Source=$Workbook$;Location=MESSA_Project;Extended Properties=&quot;&quot;" commandType="0"/>
  </connection>
  <connection id="305" xr16:uid="{1EF56D54-0FD8-479E-B504-E3B930DE4ED3}" keepAlive="1" name="Connection372" type="5" refreshedVersion="0" background="1">
    <dbPr connection="Provider=Microsoft.Mashup.OleDb.1;Data Source=$Workbook$;Location=MESSA_Project;Extended Properties=&quot;&quot;" commandType="0"/>
  </connection>
  <connection id="306" xr16:uid="{B5E58443-1BCE-4D32-A643-0D5884E185AF}" keepAlive="1" name="Connection373" type="5" refreshedVersion="0" background="1">
    <dbPr connection="Provider=Microsoft.Mashup.OleDb.1;Data Source=$Workbook$;Location=MESSA;Extended Properties=&quot;&quot;" commandType="0"/>
  </connection>
  <connection id="307" xr16:uid="{BFDD9B42-C5B5-4267-BAB8-CD95C51B5AE4}" keepAlive="1" name="Connection374" type="5" refreshedVersion="0" background="1">
    <dbPr connection="Provider=Microsoft.Mashup.OleDb.1;Data Source=$Workbook$;Location=MESSA;Extended Properties=&quot;&quot;" commandType="0"/>
  </connection>
  <connection id="308" xr16:uid="{FCF20D13-6762-434A-82C6-B6681DF97148}" keepAlive="1" name="Connection375" type="5" refreshedVersion="0" background="1">
    <dbPr connection="Provider=Microsoft.Mashup.OleDb.1;Data Source=$Workbook$;Location=MESSA;Extended Properties=&quot;&quot;" commandType="0"/>
  </connection>
  <connection id="309" xr16:uid="{69547A3F-F0E2-4ADE-A73B-12F3DC69FD96}" keepAlive="1" name="Connection376" type="5" refreshedVersion="6" background="1" saveData="1">
    <dbPr connection="Provider=Microsoft.Mashup.OleDb.1;Data Source=$Workbook$;Location=MESSA;Extended Properties=&quot;&quot;" command="SELECT * FROM [MESSA]"/>
  </connection>
  <connection id="310" xr16:uid="{7FA4AEEA-B941-47C4-9852-F09E3F206DE4}" keepAlive="1" name="Connection377" type="5" refreshedVersion="0" background="1">
    <dbPr connection="Provider=Microsoft.Mashup.OleDb.1;Data Source=$Workbook$;Location=MESSA;Extended Properties=&quot;&quot;" commandType="0"/>
  </connection>
  <connection id="311" xr16:uid="{31D5FF9A-974B-43E4-8942-7C2408C021F8}" keepAlive="1" name="Connection378" type="5" refreshedVersion="0" background="1">
    <dbPr connection="Provider=Microsoft.Mashup.OleDb.1;Data Source=$Workbook$;Location=MESSA;Extended Properties=&quot;&quot;" commandType="0"/>
  </connection>
  <connection id="312" xr16:uid="{D6CBCF68-9E37-4A30-9773-DB23A39CB492}" keepAlive="1" name="Connection379" type="5" refreshedVersion="0" background="1">
    <dbPr connection="Provider=Microsoft.Mashup.OleDb.1;Data Source=$Workbook$;Location=MESSA;Extended Properties=&quot;&quot;" commandType="0"/>
  </connection>
  <connection id="313" xr16:uid="{8D83F1D8-6D52-484A-B4C4-DEC59C8A914C}" keepAlive="1" name="Connection38" type="5" refreshedVersion="0" background="1">
    <dbPr connection="Provider=Microsoft.Mashup.OleDb.1;Data Source=$Workbook$;Location=MESSA_Project;Extended Properties=&quot;&quot;" commandType="0"/>
  </connection>
  <connection id="314" xr16:uid="{F0D92989-C0FC-4F26-A46D-A727080992EB}" keepAlive="1" name="Connection380" type="5" refreshedVersion="0" background="1">
    <dbPr connection="Provider=Microsoft.Mashup.OleDb.1;Data Source=$Workbook$;Location=MESSA;Extended Properties=&quot;&quot;" commandType="0"/>
  </connection>
  <connection id="315" xr16:uid="{F20E5A90-F837-4ABB-83A1-976BECC5E462}" keepAlive="1" name="Connection381" type="5" refreshedVersion="0" background="1">
    <dbPr connection="Provider=Microsoft.Mashup.OleDb.1;Data Source=$Workbook$;Location=MESSA;Extended Properties=&quot;&quot;" commandType="0"/>
  </connection>
  <connection id="316" xr16:uid="{540741FC-DDE6-4BF6-A3FE-901D5F21BBB6}" keepAlive="1" name="Connection382" type="5" refreshedVersion="0" background="1">
    <dbPr connection="Provider=Microsoft.Mashup.OleDb.1;Data Source=$Workbook$;Location=MESSA;Extended Properties=&quot;&quot;" commandType="0"/>
  </connection>
  <connection id="317" xr16:uid="{F4E41FFA-9D7F-4355-8B96-B98256A0EB68}" keepAlive="1" name="Connection383" type="5" refreshedVersion="0" background="1">
    <dbPr connection="Provider=Microsoft.Mashup.OleDb.1;Data Source=$Workbook$;Location=MESSA;Extended Properties=&quot;&quot;" commandType="0"/>
  </connection>
  <connection id="318" xr16:uid="{D50605A3-A263-4469-A3C7-64FD3A733F5F}" keepAlive="1" name="Connection384" type="5" refreshedVersion="0" background="1">
    <dbPr connection="Provider=Microsoft.Mashup.OleDb.1;Data Source=$Workbook$;Location=MESSA;Extended Properties=&quot;&quot;" commandType="0"/>
  </connection>
  <connection id="319" xr16:uid="{9D27866F-3CBE-434C-AFDF-7AD7FEFD01FE}" keepAlive="1" name="Connection385" type="5" refreshedVersion="0" background="1">
    <dbPr connection="Provider=Microsoft.Mashup.OleDb.1;Data Source=$Workbook$;Location=MESSA;Extended Properties=&quot;&quot;" commandType="0"/>
  </connection>
  <connection id="320" xr16:uid="{638C2CF0-D025-425A-AFA8-6528E0E5885E}" keepAlive="1" name="Connection386" type="5" refreshedVersion="0" background="1">
    <dbPr connection="Provider=Microsoft.Mashup.OleDb.1;Data Source=$Workbook$;Location=MESSA;Extended Properties=&quot;&quot;" commandType="0"/>
  </connection>
  <connection id="321" xr16:uid="{7D8DC7C5-463E-459D-99AE-29478BE1649A}" keepAlive="1" name="Connection387" type="5" refreshedVersion="0" background="1">
    <dbPr connection="Provider=Microsoft.Mashup.OleDb.1;Data Source=$Workbook$;Location=MESSA;Extended Properties=&quot;&quot;" commandType="0"/>
  </connection>
  <connection id="322" xr16:uid="{AA250B57-42F7-4C72-BAFC-AA8A1B411BB5}" keepAlive="1" name="Connection388" type="5" refreshedVersion="0" background="1">
    <dbPr connection="Provider=Microsoft.Mashup.OleDb.1;Data Source=$Workbook$;Location=MESSA;Extended Properties=&quot;&quot;" commandType="0"/>
  </connection>
  <connection id="323" xr16:uid="{AEC429EC-2172-4AA8-A275-D8BFD8F8673D}" keepAlive="1" name="Connection389" type="5" refreshedVersion="0" background="1">
    <dbPr connection="Provider=Microsoft.Mashup.OleDb.1;Data Source=$Workbook$;Location=MESSA;Extended Properties=&quot;&quot;" commandType="0"/>
  </connection>
  <connection id="324" xr16:uid="{8F653526-2E01-4352-9D44-A5DFCFABD171}" keepAlive="1" name="Connection39" type="5" refreshedVersion="0" background="1">
    <dbPr connection="Provider=Microsoft.Mashup.OleDb.1;Data Source=$Workbook$;Location=MESSA_Project;Extended Properties=&quot;&quot;" commandType="0"/>
  </connection>
  <connection id="325" xr16:uid="{81DAFFC0-4B18-4BD1-B851-518C9D5A85BB}" keepAlive="1" name="Connection390" type="5" refreshedVersion="0" background="1">
    <dbPr connection="Provider=Microsoft.Mashup.OleDb.1;Data Source=$Workbook$;Location=MESSA;Extended Properties=&quot;&quot;" commandType="0"/>
  </connection>
  <connection id="326" xr16:uid="{05D10CFA-F7A3-43FE-897B-5E2264AC4420}" keepAlive="1" name="Connection391" type="5" refreshedVersion="0" background="1">
    <dbPr connection="Provider=Microsoft.Mashup.OleDb.1;Data Source=$Workbook$;Location=MESSA;Extended Properties=&quot;&quot;" commandType="0"/>
  </connection>
  <connection id="327" xr16:uid="{C91ECD36-F52C-472C-99F2-BD8EC036D637}" keepAlive="1" name="Connection392" type="5" refreshedVersion="0" background="1">
    <dbPr connection="Provider=Microsoft.Mashup.OleDb.1;Data Source=$Workbook$;Location=MESSA;Extended Properties=&quot;&quot;" commandType="0"/>
  </connection>
  <connection id="328" xr16:uid="{A7702002-A0E8-446D-8146-D050B4795B09}" keepAlive="1" name="Connection393" type="5" refreshedVersion="0" background="1">
    <dbPr connection="Provider=Microsoft.Mashup.OleDb.1;Data Source=$Workbook$;Location=MESSA;Extended Properties=&quot;&quot;" commandType="0"/>
  </connection>
  <connection id="329" xr16:uid="{106FE15B-B42E-418D-91CE-060228A04B79}" keepAlive="1" name="Connection394" type="5" refreshedVersion="6" background="1" saveData="1">
    <dbPr connection="Provider=Microsoft.Mashup.OleDb.1;Data Source=$Workbook$;Location=MESSA;Extended Properties=&quot;&quot;" command="SELECT * FROM [MESSA]"/>
  </connection>
  <connection id="330" xr16:uid="{10B3C3D4-B8DC-432F-862D-E578EF6D1D46}" keepAlive="1" name="Connection395" type="5" refreshedVersion="0" background="1">
    <dbPr connection="Provider=Microsoft.Mashup.OleDb.1;Data Source=$Workbook$;Location=MESSA;Extended Properties=&quot;&quot;" commandType="0"/>
  </connection>
  <connection id="331" xr16:uid="{2A586956-A25D-454D-B081-0A41196B20A3}" keepAlive="1" name="Connection396" type="5" refreshedVersion="6" background="1" saveData="1">
    <dbPr connection="Provider=Microsoft.Mashup.OleDb.1;Data Source=$Workbook$;Location=MESSA;Extended Properties=&quot;&quot;" command="SELECT * FROM [MESSA]"/>
  </connection>
  <connection id="332" xr16:uid="{7087BFF6-FCFB-4250-BB69-96788490F42D}" keepAlive="1" name="Connection397" type="5" refreshedVersion="0" background="1">
    <dbPr connection="Provider=Microsoft.Mashup.OleDb.1;Data Source=$Workbook$;Location=MESSA;Extended Properties=&quot;&quot;" commandType="0"/>
  </connection>
  <connection id="333" xr16:uid="{6C10B300-8CF2-4180-81A7-E501152605DD}" keepAlive="1" name="Connection398" type="5" refreshedVersion="0" background="1">
    <dbPr connection="Provider=Microsoft.Mashup.OleDb.1;Data Source=$Workbook$;Location=MESSA;Extended Properties=&quot;&quot;" commandType="0"/>
  </connection>
  <connection id="334" xr16:uid="{185E2D39-B611-4C7F-94EE-9AFB8A5EAC4E}" keepAlive="1" name="Connection399" type="5" refreshedVersion="0" background="1">
    <dbPr connection="Provider=Microsoft.Mashup.OleDb.1;Data Source=$Workbook$;Location=MESSA;Extended Properties=&quot;&quot;" commandType="0"/>
  </connection>
  <connection id="335" xr16:uid="{84DCEC33-93AE-4B5D-87B5-8318DABD99AF}" keepAlive="1" name="Connection4" type="5" refreshedVersion="0" background="1">
    <dbPr connection="Provider=Microsoft.Mashup.OleDb.1;Data Source=$Workbook$;Location=MESSA_Project;Extended Properties=&quot;&quot;" commandType="0"/>
  </connection>
  <connection id="336" xr16:uid="{4CDFA5D7-82E7-43D2-9091-5258E4EB920F}" keepAlive="1" name="Connection40" type="5" refreshedVersion="6" background="1" saveData="1">
    <dbPr connection="Provider=Microsoft.Mashup.OleDb.1;Data Source=$Workbook$;Location=MESSA_Project;Extended Properties=&quot;&quot;" command="SELECT * FROM [MESSA_Project]"/>
  </connection>
  <connection id="337" xr16:uid="{4298F26B-5689-4EED-9AC9-CC789253ED3B}" keepAlive="1" name="Connection400" type="5" refreshedVersion="0" background="1">
    <dbPr connection="Provider=Microsoft.Mashup.OleDb.1;Data Source=$Workbook$;Location=MESSA;Extended Properties=&quot;&quot;" commandType="0"/>
  </connection>
  <connection id="338" xr16:uid="{B9AD5CC2-1DDC-4EE8-9CC0-1DFB0AADD93F}" keepAlive="1" name="Connection401" type="5" refreshedVersion="0" background="1">
    <dbPr connection="Provider=Microsoft.Mashup.OleDb.1;Data Source=$Workbook$;Location=MESSA;Extended Properties=&quot;&quot;" commandType="0"/>
  </connection>
  <connection id="339" xr16:uid="{F043FDCC-1B46-4ACD-B837-85BFAE17BAAF}" keepAlive="1" name="Connection402" type="5" refreshedVersion="0" background="1">
    <dbPr connection="Provider=Microsoft.Mashup.OleDb.1;Data Source=$Workbook$;Location=MESSA;Extended Properties=&quot;&quot;" commandType="0"/>
  </connection>
  <connection id="340" xr16:uid="{E9DF7348-C5DF-4205-A8F3-63F2587DA529}" keepAlive="1" name="Connection403" type="5" refreshedVersion="6" background="1" saveData="1">
    <dbPr connection="Provider=Microsoft.Mashup.OleDb.1;Data Source=$Workbook$;Location=MESSA;Extended Properties=&quot;&quot;" command="SELECT * FROM [MESSA]"/>
  </connection>
  <connection id="341" xr16:uid="{41FE96D6-D1C8-49D3-BC60-721A54A499E6}" keepAlive="1" name="Connection404" type="5" refreshedVersion="0" background="1">
    <dbPr connection="Provider=Microsoft.Mashup.OleDb.1;Data Source=$Workbook$;Location=MESSA;Extended Properties=&quot;&quot;" commandType="0"/>
  </connection>
  <connection id="342" xr16:uid="{DEB8A4AD-3281-47A2-B3AF-D7F6A50DCFF5}" keepAlive="1" name="Connection405" type="5" refreshedVersion="0" background="1">
    <dbPr connection="Provider=Microsoft.Mashup.OleDb.1;Data Source=$Workbook$;Location=MESSA;Extended Properties=&quot;&quot;" commandType="0"/>
  </connection>
  <connection id="343" xr16:uid="{2F4F873E-E8E3-4385-82AE-6EE7FF64D6F6}" keepAlive="1" name="Connection406" type="5" refreshedVersion="0" background="1">
    <dbPr connection="Provider=Microsoft.Mashup.OleDb.1;Data Source=$Workbook$;Location=MESSA;Extended Properties=&quot;&quot;" commandType="0"/>
  </connection>
  <connection id="344" xr16:uid="{E5B7E158-8D51-4C39-B4E3-53D2C01EF6FA}" keepAlive="1" name="Connection407" type="5" refreshedVersion="0" background="1">
    <dbPr connection="Provider=Microsoft.Mashup.OleDb.1;Data Source=$Workbook$;Location=MESSA;Extended Properties=&quot;&quot;" commandType="0"/>
  </connection>
  <connection id="345" xr16:uid="{51C9EF97-0557-4178-B26C-28DEC5092E31}" keepAlive="1" name="Connection408" type="5" refreshedVersion="0" background="1">
    <dbPr connection="Provider=Microsoft.Mashup.OleDb.1;Data Source=$Workbook$;Location=MESSA;Extended Properties=&quot;&quot;" commandType="0"/>
  </connection>
  <connection id="346" xr16:uid="{1938A5CB-5297-40F3-BAF8-22C905208F1E}" keepAlive="1" name="Connection409" type="5" refreshedVersion="0" background="1">
    <dbPr connection="Provider=Microsoft.Mashup.OleDb.1;Data Source=$Workbook$;Location=MESSA;Extended Properties=&quot;&quot;" commandType="0"/>
  </connection>
  <connection id="347" xr16:uid="{7D7417F1-BB03-45D9-8BB1-3E349EE77B5A}" keepAlive="1" name="Connection41" type="5" refreshedVersion="0" background="1">
    <dbPr connection="Provider=Microsoft.Mashup.OleDb.1;Data Source=$Workbook$;Location=MESSA_Project;Extended Properties=&quot;&quot;" commandType="0"/>
  </connection>
  <connection id="348" xr16:uid="{733CC9F8-54FB-49BF-951E-7272C0E451A7}" keepAlive="1" name="Connection410" type="5" refreshedVersion="0" background="1">
    <dbPr connection="Provider=Microsoft.Mashup.OleDb.1;Data Source=$Workbook$;Location=MESSA;Extended Properties=&quot;&quot;" commandType="0"/>
  </connection>
  <connection id="349" xr16:uid="{E10786CF-E3BC-48CE-9172-79E1CC3DD464}" keepAlive="1" name="Connection411" type="5" refreshedVersion="0" background="1">
    <dbPr connection="Provider=Microsoft.Mashup.OleDb.1;Data Source=$Workbook$;Location=MESSA;Extended Properties=&quot;&quot;" commandType="0"/>
  </connection>
  <connection id="350" xr16:uid="{52BD24BF-2234-43C5-AE34-CBDC63252BDF}" keepAlive="1" name="Connection412" type="5" refreshedVersion="0" background="1">
    <dbPr connection="Provider=Microsoft.Mashup.OleDb.1;Data Source=$Workbook$;Location=MESSA;Extended Properties=&quot;&quot;" commandType="0"/>
  </connection>
  <connection id="351" xr16:uid="{7C8E0C30-E83D-49DA-9AB9-290EEB7688BA}" keepAlive="1" name="Connection413" type="5" refreshedVersion="0" background="1">
    <dbPr connection="Provider=Microsoft.Mashup.OleDb.1;Data Source=$Workbook$;Location=MESSA;Extended Properties=&quot;&quot;" commandType="0"/>
  </connection>
  <connection id="352" xr16:uid="{08D8F7F6-4055-4616-AC4C-89D07BC67F3B}" keepAlive="1" name="Connection414" type="5" refreshedVersion="0" background="1">
    <dbPr connection="Provider=Microsoft.Mashup.OleDb.1;Data Source=$Workbook$;Location=MESSA;Extended Properties=&quot;&quot;" commandType="0"/>
  </connection>
  <connection id="353" xr16:uid="{C6602D36-0B60-4802-857D-E85D89D3B1A8}" keepAlive="1" name="Connection415" type="5" refreshedVersion="0" background="1">
    <dbPr connection="Provider=Microsoft.Mashup.OleDb.1;Data Source=$Workbook$;Location=MESSA;Extended Properties=&quot;&quot;" commandType="0"/>
  </connection>
  <connection id="354" xr16:uid="{96B54340-F23E-4C25-872F-B62B447F5E2C}" keepAlive="1" name="Connection416" type="5" refreshedVersion="0" background="1">
    <dbPr connection="Provider=Microsoft.Mashup.OleDb.1;Data Source=$Workbook$;Location=MESSA;Extended Properties=&quot;&quot;" commandType="0"/>
  </connection>
  <connection id="355" xr16:uid="{80DAD12F-49ED-49C5-8066-C519C3BA9359}" keepAlive="1" name="Connection417" type="5" refreshedVersion="0" background="1">
    <dbPr connection="Provider=Microsoft.Mashup.OleDb.1;Data Source=$Workbook$;Location=MESSA;Extended Properties=&quot;&quot;" commandType="0"/>
  </connection>
  <connection id="356" xr16:uid="{77EB02A3-EFB7-40D8-8D68-7E43CD3A6580}" keepAlive="1" name="Connection418" type="5" refreshedVersion="0" background="1">
    <dbPr connection="Provider=Microsoft.Mashup.OleDb.1;Data Source=$Workbook$;Location=MESSA;Extended Properties=&quot;&quot;" commandType="0"/>
  </connection>
  <connection id="357" xr16:uid="{4BB659EF-9B86-4E94-B705-C14F767EC9E9}" keepAlive="1" name="Connection419" type="5" refreshedVersion="0" background="1">
    <dbPr connection="Provider=Microsoft.Mashup.OleDb.1;Data Source=$Workbook$;Location=MESSA;Extended Properties=&quot;&quot;" commandType="0"/>
  </connection>
  <connection id="358" xr16:uid="{20E5E089-4FDC-469D-BA78-5346AE928726}" keepAlive="1" name="Connection42" type="5" refreshedVersion="6" background="1" saveData="1">
    <dbPr connection="Provider=Microsoft.Mashup.OleDb.1;Data Source=$Workbook$;Location=MESSA_Project;Extended Properties=&quot;&quot;" command="SELECT * FROM [MESSA_Project]"/>
  </connection>
  <connection id="359" xr16:uid="{6D1068FD-4BFB-4FDC-B1EC-AB3428895347}" keepAlive="1" name="Connection420" type="5" refreshedVersion="0" background="1">
    <dbPr connection="Provider=Microsoft.Mashup.OleDb.1;Data Source=$Workbook$;Location=MESSA;Extended Properties=&quot;&quot;" commandType="0"/>
  </connection>
  <connection id="360" xr16:uid="{D869DA38-9DC6-4E9A-B6D9-1FC1B77C2E48}" keepAlive="1" name="Connection421" type="5" refreshedVersion="0" background="1">
    <dbPr connection="Provider=Microsoft.Mashup.OleDb.1;Data Source=$Workbook$;Location=MESSA;Extended Properties=&quot;&quot;" commandType="0"/>
  </connection>
  <connection id="361" xr16:uid="{DD178E03-1F12-402B-8E81-86F2CAD9F1BE}" keepAlive="1" name="Connection422" type="5" refreshedVersion="0" background="1">
    <dbPr connection="Provider=Microsoft.Mashup.OleDb.1;Data Source=$Workbook$;Location=MESSA;Extended Properties=&quot;&quot;" commandType="0"/>
  </connection>
  <connection id="362" xr16:uid="{28F57407-571A-4C01-8405-806D93D9AC87}" keepAlive="1" name="Connection423" type="5" refreshedVersion="0" background="1">
    <dbPr connection="Provider=Microsoft.Mashup.OleDb.1;Data Source=$Workbook$;Location=MESSA;Extended Properties=&quot;&quot;" commandType="0"/>
  </connection>
  <connection id="363" xr16:uid="{420821F6-656D-42AC-BA68-72384AF25DAD}" keepAlive="1" name="Connection424" type="5" refreshedVersion="0" background="1">
    <dbPr connection="Provider=Microsoft.Mashup.OleDb.1;Data Source=$Workbook$;Location=MESSA;Extended Properties=&quot;&quot;" commandType="0"/>
  </connection>
  <connection id="364" xr16:uid="{429C4E96-AEC6-4BDC-8908-FEC603E64110}" keepAlive="1" name="Connection425" type="5" refreshedVersion="0" background="1">
    <dbPr connection="Provider=Microsoft.Mashup.OleDb.1;Data Source=$Workbook$;Location=MESSA;Extended Properties=&quot;&quot;" commandType="0"/>
  </connection>
  <connection id="365" xr16:uid="{EF857389-CA69-4883-8311-7DD8E3DF29E9}" keepAlive="1" name="Connection426" type="5" refreshedVersion="0" background="1">
    <dbPr connection="Provider=Microsoft.Mashup.OleDb.1;Data Source=$Workbook$;Location=MESSA;Extended Properties=&quot;&quot;" commandType="0"/>
  </connection>
  <connection id="366" xr16:uid="{811BBD41-A7B5-43F7-BDD6-15FE370AD06D}" keepAlive="1" name="Connection427" type="5" refreshedVersion="0" background="1">
    <dbPr connection="Provider=Microsoft.Mashup.OleDb.1;Data Source=$Workbook$;Location=MESSA;Extended Properties=&quot;&quot;" commandType="0"/>
  </connection>
  <connection id="367" xr16:uid="{232FE768-A88A-4DFA-B8CC-D9421CA21DE9}" keepAlive="1" name="Connection428" type="5" refreshedVersion="0" background="1">
    <dbPr connection="Provider=Microsoft.Mashup.OleDb.1;Data Source=$Workbook$;Location=MESSA;Extended Properties=&quot;&quot;" commandType="0"/>
  </connection>
  <connection id="368" xr16:uid="{9AE4E3B8-92FC-4881-8A9E-409379D411D7}" keepAlive="1" name="Connection429" type="5" refreshedVersion="0" background="1">
    <dbPr connection="Provider=Microsoft.Mashup.OleDb.1;Data Source=$Workbook$;Location=MESSA;Extended Properties=&quot;&quot;" commandType="0"/>
  </connection>
  <connection id="369" xr16:uid="{5EEABC0A-81E2-4020-946F-6B9C10AEBBC0}" keepAlive="1" name="Connection43" type="5" refreshedVersion="0" background="1">
    <dbPr connection="Provider=Microsoft.Mashup.OleDb.1;Data Source=$Workbook$;Location=MESSA_Project;Extended Properties=&quot;&quot;" commandType="0"/>
  </connection>
  <connection id="370" xr16:uid="{B3218E36-64E4-4993-9D3C-C6C122FD0C69}" keepAlive="1" name="Connection430" type="5" refreshedVersion="0" background="1">
    <dbPr connection="Provider=Microsoft.Mashup.OleDb.1;Data Source=$Workbook$;Location=MESSA;Extended Properties=&quot;&quot;" commandType="0"/>
  </connection>
  <connection id="371" xr16:uid="{349B395A-2142-466B-B43B-EE0B9DF8EC4A}" keepAlive="1" name="Connection431" type="5" refreshedVersion="6" background="1" saveData="1">
    <dbPr connection="Provider=Microsoft.Mashup.OleDb.1;Data Source=$Workbook$;Location=MESSA;Extended Properties=&quot;&quot;" command="SELECT * FROM [MESSA]"/>
  </connection>
  <connection id="372" xr16:uid="{9FBF8177-EE02-4807-B781-D41E18620C54}" keepAlive="1" name="Connection432" type="5" refreshedVersion="0" background="1">
    <dbPr connection="Provider=Microsoft.Mashup.OleDb.1;Data Source=$Workbook$;Location=MESSA;Extended Properties=&quot;&quot;" commandType="0"/>
  </connection>
  <connection id="373" xr16:uid="{A3B6DDDE-79D4-4873-B4AC-6396F239739E}" keepAlive="1" name="Connection433" type="5" refreshedVersion="0" background="1">
    <dbPr connection="Provider=Microsoft.Mashup.OleDb.1;Data Source=$Workbook$;Location=MESSA;Extended Properties=&quot;&quot;" commandType="0"/>
  </connection>
  <connection id="374" xr16:uid="{23C27DFB-0763-4D83-8CB8-2E64D8B7FC21}" keepAlive="1" name="Connection434" type="5" refreshedVersion="0" background="1">
    <dbPr connection="Provider=Microsoft.Mashup.OleDb.1;Data Source=$Workbook$;Location=MESSA;Extended Properties=&quot;&quot;" commandType="0"/>
  </connection>
  <connection id="375" xr16:uid="{F88B9191-C8DD-470F-9707-DFC5867B3496}" keepAlive="1" name="Connection435" type="5" refreshedVersion="0" background="1">
    <dbPr connection="Provider=Microsoft.Mashup.OleDb.1;Data Source=$Workbook$;Location=MESSA;Extended Properties=&quot;&quot;" commandType="0"/>
  </connection>
  <connection id="376" xr16:uid="{7915143A-98E7-448E-88BC-B61527F7DAB8}" keepAlive="1" name="Connection436" type="5" refreshedVersion="0" background="1">
    <dbPr connection="Provider=Microsoft.Mashup.OleDb.1;Data Source=$Workbook$;Location=MESSA;Extended Properties=&quot;&quot;" commandType="0"/>
  </connection>
  <connection id="377" xr16:uid="{4D3215FB-AF1C-4454-A135-1DFB18A0511F}" keepAlive="1" name="Connection437" type="5" refreshedVersion="0" background="1">
    <dbPr connection="Provider=Microsoft.Mashup.OleDb.1;Data Source=$Workbook$;Location=MESSA;Extended Properties=&quot;&quot;" commandType="0"/>
  </connection>
  <connection id="378" xr16:uid="{8D6AF181-6472-4F0A-87A5-25066FF85B3C}" keepAlive="1" name="Connection438" type="5" refreshedVersion="0" background="1">
    <dbPr connection="Provider=Microsoft.Mashup.OleDb.1;Data Source=$Workbook$;Location=MESSA;Extended Properties=&quot;&quot;" commandType="0"/>
  </connection>
  <connection id="379" xr16:uid="{A134BAE5-23E3-4AB1-880F-B18ACB0C7886}" keepAlive="1" name="Connection439" type="5" refreshedVersion="0" background="1">
    <dbPr connection="Provider=Microsoft.Mashup.OleDb.1;Data Source=$Workbook$;Location=MESSA;Extended Properties=&quot;&quot;" commandType="0"/>
  </connection>
  <connection id="380" xr16:uid="{C261AF01-A65A-47C3-9E53-3FE919330448}" keepAlive="1" name="Connection44" type="5" refreshedVersion="0" background="1">
    <dbPr connection="Provider=Microsoft.Mashup.OleDb.1;Data Source=$Workbook$;Location=MESSA_Project;Extended Properties=&quot;&quot;" commandType="0"/>
  </connection>
  <connection id="381" xr16:uid="{31BEE81B-C6EF-4341-87D5-483C9AA09FD5}" keepAlive="1" name="Connection440" type="5" refreshedVersion="0" background="1">
    <dbPr connection="Provider=Microsoft.Mashup.OleDb.1;Data Source=$Workbook$;Location=MESSA;Extended Properties=&quot;&quot;" commandType="0"/>
  </connection>
  <connection id="382" xr16:uid="{E06A4B6C-D893-463B-B950-56173B71A0E6}" keepAlive="1" name="Connection441" type="5" refreshedVersion="0" background="1">
    <dbPr connection="Provider=Microsoft.Mashup.OleDb.1;Data Source=$Workbook$;Location=MESSA;Extended Properties=&quot;&quot;" commandType="0"/>
  </connection>
  <connection id="383" xr16:uid="{651068D0-2583-448D-9DF2-E57FCCB93924}" keepAlive="1" name="Connection442" type="5" refreshedVersion="0" background="1">
    <dbPr connection="Provider=Microsoft.Mashup.OleDb.1;Data Source=$Workbook$;Location=MESSA;Extended Properties=&quot;&quot;" commandType="0"/>
  </connection>
  <connection id="384" xr16:uid="{9495DA74-45F8-4D01-A3CE-EF0840BA042C}" keepAlive="1" name="Connection443" type="5" refreshedVersion="0" background="1">
    <dbPr connection="Provider=Microsoft.Mashup.OleDb.1;Data Source=$Workbook$;Location=MESSA;Extended Properties=&quot;&quot;" commandType="0"/>
  </connection>
  <connection id="385" xr16:uid="{2D028BAF-14DF-4CE3-BD5E-81F791DED009}" keepAlive="1" name="Connection444" type="5" refreshedVersion="0" background="1">
    <dbPr connection="Provider=Microsoft.Mashup.OleDb.1;Data Source=$Workbook$;Location=MESSA;Extended Properties=&quot;&quot;" commandType="0"/>
  </connection>
  <connection id="386" xr16:uid="{EF2BD0FC-5D34-4823-BC23-CF9DAFBEAF5E}" keepAlive="1" name="Connection445" type="5" refreshedVersion="0" background="1">
    <dbPr connection="Provider=Microsoft.Mashup.OleDb.1;Data Source=$Workbook$;Location=MESSA;Extended Properties=&quot;&quot;" commandType="0"/>
  </connection>
  <connection id="387" xr16:uid="{3567D347-4906-448D-8E83-46AB99112BBE}" keepAlive="1" name="Connection446" type="5" refreshedVersion="0" background="1">
    <dbPr connection="Provider=Microsoft.Mashup.OleDb.1;Data Source=$Workbook$;Location=MESSA;Extended Properties=&quot;&quot;" commandType="0"/>
  </connection>
  <connection id="388" xr16:uid="{2B2EF71D-9898-4E2B-A492-E4E660342C51}" keepAlive="1" name="Connection447" type="5" refreshedVersion="0" background="1">
    <dbPr connection="Provider=Microsoft.Mashup.OleDb.1;Data Source=$Workbook$;Location=MESSA;Extended Properties=&quot;&quot;" commandType="0"/>
  </connection>
  <connection id="389" xr16:uid="{57383BAF-C223-4C56-BF29-7F3C76B24CEB}" keepAlive="1" name="Connection448" type="5" refreshedVersion="6" background="1" saveData="1">
    <dbPr connection="Provider=Microsoft.Mashup.OleDb.1;Data Source=$Workbook$;Location=MESSA;Extended Properties=&quot;&quot;" command="SELECT * FROM [MESSA]"/>
  </connection>
  <connection id="390" xr16:uid="{34ACF371-725C-4A2A-9814-9598C0B5B042}" keepAlive="1" name="Connection45" type="5" refreshedVersion="0" background="1">
    <dbPr connection="Provider=Microsoft.Mashup.OleDb.1;Data Source=$Workbook$;Location=MESSA_Project;Extended Properties=&quot;&quot;" commandType="0"/>
  </connection>
  <connection id="391" xr16:uid="{3DAE65F2-4BBF-4548-BF4B-59FE1DAB07A7}" keepAlive="1" name="Connection46" type="5" refreshedVersion="0" background="1">
    <dbPr connection="Provider=Microsoft.Mashup.OleDb.1;Data Source=$Workbook$;Location=MESSA_Project;Extended Properties=&quot;&quot;" commandType="0"/>
  </connection>
  <connection id="392" xr16:uid="{95C05A9F-4CB7-4662-9CF0-FEF707B96354}" keepAlive="1" name="Connection47" type="5" refreshedVersion="0" background="1">
    <dbPr connection="Provider=Microsoft.Mashup.OleDb.1;Data Source=$Workbook$;Location=MESSA_Project;Extended Properties=&quot;&quot;" commandType="0"/>
  </connection>
  <connection id="393" xr16:uid="{99DD89A5-1E98-4C5F-B7D3-5DFAC0D7ADF0}" keepAlive="1" name="Connection48" type="5" refreshedVersion="0" background="1">
    <dbPr connection="Provider=Microsoft.Mashup.OleDb.1;Data Source=$Workbook$;Location=MESSA_Project;Extended Properties=&quot;&quot;" commandType="0"/>
  </connection>
  <connection id="394" xr16:uid="{123D8DD9-7578-41B1-842F-51496F76FACB}" keepAlive="1" name="Connection49" type="5" refreshedVersion="0" background="1">
    <dbPr connection="Provider=Microsoft.Mashup.OleDb.1;Data Source=$Workbook$;Location=MESSA_Project;Extended Properties=&quot;&quot;" commandType="0"/>
  </connection>
  <connection id="395" xr16:uid="{9C9CEC14-42B2-4E08-B402-63A89536F534}" keepAlive="1" name="Connection5" type="5" refreshedVersion="0" background="1">
    <dbPr connection="Provider=Microsoft.Mashup.OleDb.1;Data Source=$Workbook$;Location=MESSA_Project;Extended Properties=&quot;&quot;" commandType="0"/>
  </connection>
  <connection id="396" xr16:uid="{EBC9F9EB-2015-423D-B21F-0F469F18A6CE}" keepAlive="1" name="Connection50" type="5" refreshedVersion="0" background="1">
    <dbPr connection="Provider=Microsoft.Mashup.OleDb.1;Data Source=$Workbook$;Location=MESSA_Project;Extended Properties=&quot;&quot;" commandType="0"/>
  </connection>
  <connection id="397" xr16:uid="{E3861668-F61B-4CF7-A685-D1B88F25AC2F}" keepAlive="1" name="Connection51" type="5" refreshedVersion="0" background="1">
    <dbPr connection="Provider=Microsoft.Mashup.OleDb.1;Data Source=$Workbook$;Location=MESSA_Project;Extended Properties=&quot;&quot;" commandType="0"/>
  </connection>
  <connection id="398" xr16:uid="{74103DB4-1106-48D4-91BA-233D5F576470}" keepAlive="1" name="Connection52" type="5" refreshedVersion="0" background="1">
    <dbPr connection="Provider=Microsoft.Mashup.OleDb.1;Data Source=$Workbook$;Location=MESSA_Project;Extended Properties=&quot;&quot;" commandType="0"/>
  </connection>
  <connection id="399" xr16:uid="{4BF14D7D-B54E-40C1-9D02-4E5A4BED2235}" keepAlive="1" name="Connection53" type="5" refreshedVersion="0" background="1">
    <dbPr connection="Provider=Microsoft.Mashup.OleDb.1;Data Source=$Workbook$;Location=MESSA_Project;Extended Properties=&quot;&quot;" commandType="0"/>
  </connection>
  <connection id="400" xr16:uid="{876B5FE3-2E47-4611-B092-39006DCE752E}" keepAlive="1" name="Connection54" type="5" refreshedVersion="0" background="1">
    <dbPr connection="Provider=Microsoft.Mashup.OleDb.1;Data Source=$Workbook$;Location=MESSA_Project;Extended Properties=&quot;&quot;" commandType="0"/>
  </connection>
  <connection id="401" xr16:uid="{464F05CE-CDAC-4D52-988D-5FF707F47DE5}" keepAlive="1" name="Connection55" type="5" refreshedVersion="0" background="1">
    <dbPr connection="Provider=Microsoft.Mashup.OleDb.1;Data Source=$Workbook$;Location=MESSA_Project;Extended Properties=&quot;&quot;" commandType="0"/>
  </connection>
  <connection id="402" xr16:uid="{CFD9270F-CBB8-4FC5-B62F-9D5AE1DFC699}" keepAlive="1" name="Connection56" type="5" refreshedVersion="0" background="1">
    <dbPr connection="Provider=Microsoft.Mashup.OleDb.1;Data Source=$Workbook$;Location=MESSA_Project;Extended Properties=&quot;&quot;" commandType="0"/>
  </connection>
  <connection id="403" xr16:uid="{875146A1-329B-43EE-A42D-8ED1278A57D0}" keepAlive="1" name="Connection57" type="5" refreshedVersion="0" background="1">
    <dbPr connection="Provider=Microsoft.Mashup.OleDb.1;Data Source=$Workbook$;Location=MESSA_Project;Extended Properties=&quot;&quot;" commandType="0"/>
  </connection>
  <connection id="404" xr16:uid="{03950D7D-D28F-4B0A-8076-8107F816F2BD}" keepAlive="1" name="Connection58" type="5" refreshedVersion="0" background="1">
    <dbPr connection="Provider=Microsoft.Mashup.OleDb.1;Data Source=$Workbook$;Location=MESSA_Project;Extended Properties=&quot;&quot;" commandType="0"/>
  </connection>
  <connection id="405" xr16:uid="{67DBD201-41C1-4B47-976C-09F74F851A31}" keepAlive="1" name="Connection59" type="5" refreshedVersion="0" background="1">
    <dbPr connection="Provider=Microsoft.Mashup.OleDb.1;Data Source=$Workbook$;Location=MESSA_Project;Extended Properties=&quot;&quot;" commandType="0"/>
  </connection>
  <connection id="406" xr16:uid="{55F16557-EFEA-4B2C-89B6-B0F91C697515}" keepAlive="1" name="Connection6" type="5" refreshedVersion="0" background="1">
    <dbPr connection="Provider=Microsoft.Mashup.OleDb.1;Data Source=$Workbook$;Location=MESSA_Project;Extended Properties=&quot;&quot;" commandType="0"/>
  </connection>
  <connection id="407" xr16:uid="{823EA0ED-C1F3-4365-B344-823C9E606CE3}" keepAlive="1" name="Connection60" type="5" refreshedVersion="0" background="1">
    <dbPr connection="Provider=Microsoft.Mashup.OleDb.1;Data Source=$Workbook$;Location=MESSA_Project;Extended Properties=&quot;&quot;" commandType="0"/>
  </connection>
  <connection id="408" xr16:uid="{ACC4E35F-FF21-41E4-952E-F0B2EEBC51C6}" keepAlive="1" name="Connection61" type="5" refreshedVersion="0" background="1">
    <dbPr connection="Provider=Microsoft.Mashup.OleDb.1;Data Source=$Workbook$;Location=MESSA_Project;Extended Properties=&quot;&quot;" commandType="0"/>
  </connection>
  <connection id="409" xr16:uid="{2F0E33C4-5346-4EB8-A020-C28D3901A484}" keepAlive="1" name="Connection62" type="5" refreshedVersion="0" background="1">
    <dbPr connection="Provider=Microsoft.Mashup.OleDb.1;Data Source=$Workbook$;Location=MESSA_Project;Extended Properties=&quot;&quot;" commandType="0"/>
  </connection>
  <connection id="410" xr16:uid="{948E39FD-EE05-4BBC-A070-AE904DC344CB}" keepAlive="1" name="Connection63" type="5" refreshedVersion="0" background="1">
    <dbPr connection="Provider=Microsoft.Mashup.OleDb.1;Data Source=$Workbook$;Location=MESSA_Project;Extended Properties=&quot;&quot;" commandType="0"/>
  </connection>
  <connection id="411" xr16:uid="{F90F7C14-9640-4F62-A509-89A16112294D}" keepAlive="1" name="Connection64" type="5" refreshedVersion="0" background="1">
    <dbPr connection="Provider=Microsoft.Mashup.OleDb.1;Data Source=$Workbook$;Location=MESSA_Project;Extended Properties=&quot;&quot;" commandType="0"/>
  </connection>
  <connection id="412" xr16:uid="{CE1BFDD2-BAE6-43E1-9710-55FDA1BAFAAE}" keepAlive="1" name="Connection65" type="5" refreshedVersion="0" background="1">
    <dbPr connection="Provider=Microsoft.Mashup.OleDb.1;Data Source=$Workbook$;Location=MESSA_Project;Extended Properties=&quot;&quot;" commandType="0"/>
  </connection>
  <connection id="413" xr16:uid="{19885C61-C19A-4AB7-BBC5-411BB9A3278A}" keepAlive="1" name="Connection66" type="5" refreshedVersion="0" background="1">
    <dbPr connection="Provider=Microsoft.Mashup.OleDb.1;Data Source=$Workbook$;Location=MESSA_Project;Extended Properties=&quot;&quot;" commandType="0"/>
  </connection>
  <connection id="414" xr16:uid="{CCD6E2F0-33F1-4983-B2C8-2872F8CBB1D0}" keepAlive="1" name="Connection67" type="5" refreshedVersion="0" background="1">
    <dbPr connection="Provider=Microsoft.Mashup.OleDb.1;Data Source=$Workbook$;Location=MESSA_Project;Extended Properties=&quot;&quot;" commandType="0"/>
  </connection>
  <connection id="415" xr16:uid="{82698521-34F3-4BBC-B6CA-94F95E70DC64}" keepAlive="1" name="Connection68" type="5" refreshedVersion="0" background="1">
    <dbPr connection="Provider=Microsoft.Mashup.OleDb.1;Data Source=$Workbook$;Location=MESSA_Project;Extended Properties=&quot;&quot;" commandType="0"/>
  </connection>
  <connection id="416" xr16:uid="{47B791F8-E564-4A5D-A045-88CEAD9FD1BE}" keepAlive="1" name="Connection69" type="5" refreshedVersion="0" background="1">
    <dbPr connection="Provider=Microsoft.Mashup.OleDb.1;Data Source=$Workbook$;Location=MESSA_Project;Extended Properties=&quot;&quot;" commandType="0"/>
  </connection>
  <connection id="417" xr16:uid="{2D2E1F55-BBA4-4FD3-9E22-E80B7AB0EA1F}" keepAlive="1" name="Connection7" type="5" refreshedVersion="0" background="1">
    <dbPr connection="Provider=Microsoft.Mashup.OleDb.1;Data Source=$Workbook$;Location=MESSA_Project;Extended Properties=&quot;&quot;" commandType="0"/>
  </connection>
  <connection id="418" xr16:uid="{799EC8E4-EB96-405F-B797-254D15BF9365}" keepAlive="1" name="Connection70" type="5" refreshedVersion="0" background="1">
    <dbPr connection="Provider=Microsoft.Mashup.OleDb.1;Data Source=$Workbook$;Location=MESSA_Project;Extended Properties=&quot;&quot;" commandType="0"/>
  </connection>
  <connection id="419" xr16:uid="{207C8A11-886D-4E88-89F2-718E52DD1C35}" keepAlive="1" name="Connection71" type="5" refreshedVersion="0" background="1">
    <dbPr connection="Provider=Microsoft.Mashup.OleDb.1;Data Source=$Workbook$;Location=MESSA_Project;Extended Properties=&quot;&quot;" commandType="0"/>
  </connection>
  <connection id="420" xr16:uid="{E16CFEBB-866C-433D-AD37-3754F737D51C}" keepAlive="1" name="Connection72" type="5" refreshedVersion="0" background="1">
    <dbPr connection="Provider=Microsoft.Mashup.OleDb.1;Data Source=$Workbook$;Location=MESSA_Project;Extended Properties=&quot;&quot;" commandType="0"/>
  </connection>
  <connection id="421" xr16:uid="{6E9DF5BE-CF14-43E7-A2C3-5D6C14106908}" keepAlive="1" name="Connection73" type="5" refreshedVersion="0" background="1">
    <dbPr connection="Provider=Microsoft.Mashup.OleDb.1;Data Source=$Workbook$;Location=MESSA_Project;Extended Properties=&quot;&quot;" commandType="0"/>
  </connection>
  <connection id="422" xr16:uid="{1D8411CF-C870-4B7A-BAE8-7876A84E11F5}" keepAlive="1" name="Connection74" type="5" refreshedVersion="0" background="1">
    <dbPr connection="Provider=Microsoft.Mashup.OleDb.1;Data Source=$Workbook$;Location=MESSA_Project;Extended Properties=&quot;&quot;" commandType="0"/>
  </connection>
  <connection id="423" xr16:uid="{02AD8DA8-7B63-401C-9EB3-EE5DD6FBF30F}" keepAlive="1" name="Connection75" type="5" refreshedVersion="0" background="1">
    <dbPr connection="Provider=Microsoft.Mashup.OleDb.1;Data Source=$Workbook$;Location=MESSA_Project;Extended Properties=&quot;&quot;" commandType="0"/>
  </connection>
  <connection id="424" xr16:uid="{8B4B18AA-CB24-479C-A80B-5682FBB86483}" keepAlive="1" name="Connection76" type="5" refreshedVersion="0" background="1">
    <dbPr connection="Provider=Microsoft.Mashup.OleDb.1;Data Source=$Workbook$;Location=MESSA_Project;Extended Properties=&quot;&quot;" commandType="0"/>
  </connection>
  <connection id="425" xr16:uid="{B118E9F7-77DB-4824-BDA3-1A1836249011}" keepAlive="1" name="Connection77" type="5" refreshedVersion="0" background="1">
    <dbPr connection="Provider=Microsoft.Mashup.OleDb.1;Data Source=$Workbook$;Location=MESSA_Project;Extended Properties=&quot;&quot;" commandType="0"/>
  </connection>
  <connection id="426" xr16:uid="{1102569C-C357-45D2-A6F9-F996DAD70AFD}" keepAlive="1" name="Connection78" type="5" refreshedVersion="6" background="1" saveData="1">
    <dbPr connection="Provider=Microsoft.Mashup.OleDb.1;Data Source=$Workbook$;Location=MESSA_Project;Extended Properties=&quot;&quot;" command="SELECT * FROM [MESSA_Project]"/>
  </connection>
  <connection id="427" xr16:uid="{E9854C26-7A1B-48C7-ADD9-148CB29810DC}" keepAlive="1" name="Connection79" type="5" refreshedVersion="0" background="1">
    <dbPr connection="Provider=Microsoft.Mashup.OleDb.1;Data Source=$Workbook$;Location=MESSA_Project;Extended Properties=&quot;&quot;" commandType="0"/>
  </connection>
  <connection id="428" xr16:uid="{CA52C3AF-9222-4A83-A9E7-6B5944130D01}" keepAlive="1" name="Connection8" type="5" refreshedVersion="0" background="1">
    <dbPr connection="Provider=Microsoft.Mashup.OleDb.1;Data Source=$Workbook$;Location=MESSA_Project;Extended Properties=&quot;&quot;" commandType="0"/>
  </connection>
  <connection id="429" xr16:uid="{751DB148-9CD7-48B5-A47E-DD22620E4FFA}" keepAlive="1" name="Connection80" type="5" refreshedVersion="0" background="1">
    <dbPr connection="Provider=Microsoft.Mashup.OleDb.1;Data Source=$Workbook$;Location=MESSA_Project;Extended Properties=&quot;&quot;" commandType="0"/>
  </connection>
  <connection id="430" xr16:uid="{C01E5230-4B3D-451A-BF34-58F15446F798}" keepAlive="1" name="Connection81" type="5" refreshedVersion="0" background="1">
    <dbPr connection="Provider=Microsoft.Mashup.OleDb.1;Data Source=$Workbook$;Location=MESSA_Project;Extended Properties=&quot;&quot;" commandType="0"/>
  </connection>
  <connection id="431" xr16:uid="{ABC78931-23C7-4F9D-AD19-3CEE207050D1}" keepAlive="1" name="Connection82" type="5" refreshedVersion="0" background="1">
    <dbPr connection="Provider=Microsoft.Mashup.OleDb.1;Data Source=$Workbook$;Location=MESSA_Project;Extended Properties=&quot;&quot;" commandType="0"/>
  </connection>
  <connection id="432" xr16:uid="{106F8A00-6DEC-462C-8B1B-254C1DA003AD}" keepAlive="1" name="Connection83" type="5" refreshedVersion="0" background="1">
    <dbPr connection="Provider=Microsoft.Mashup.OleDb.1;Data Source=$Workbook$;Location=MESSA_Project;Extended Properties=&quot;&quot;" commandType="0"/>
  </connection>
  <connection id="433" xr16:uid="{598772CE-4FEE-4D6E-8F3F-FE49615C5A2B}" keepAlive="1" name="Connection84" type="5" refreshedVersion="6" background="1" saveData="1">
    <dbPr connection="Provider=Microsoft.Mashup.OleDb.1;Data Source=$Workbook$;Location=MESSA_Project;Extended Properties=&quot;&quot;" command="SELECT * FROM [MESSA_Project]"/>
  </connection>
  <connection id="434" xr16:uid="{71832D87-6870-4193-81D1-7D15772FD357}" keepAlive="1" name="Connection85" type="5" refreshedVersion="0" background="1">
    <dbPr connection="Provider=Microsoft.Mashup.OleDb.1;Data Source=$Workbook$;Location=MESSA_Project;Extended Properties=&quot;&quot;" commandType="0"/>
  </connection>
  <connection id="435" xr16:uid="{6E278CEC-54CB-4213-9584-A82AAB97368F}" keepAlive="1" name="Connection86" type="5" refreshedVersion="0" background="1">
    <dbPr connection="Provider=Microsoft.Mashup.OleDb.1;Data Source=$Workbook$;Location=MESSA_Project;Extended Properties=&quot;&quot;" commandType="0"/>
  </connection>
  <connection id="436" xr16:uid="{6AB01C15-FFE9-45B2-BB6B-B3012BDCCB0E}" keepAlive="1" name="Connection87" type="5" refreshedVersion="0" background="1">
    <dbPr connection="Provider=Microsoft.Mashup.OleDb.1;Data Source=$Workbook$;Location=MESSA_Project;Extended Properties=&quot;&quot;" commandType="0"/>
  </connection>
  <connection id="437" xr16:uid="{684A800A-5B7E-4E19-8A5F-ADEB154A80BF}" keepAlive="1" name="Connection88" type="5" refreshedVersion="0" background="1">
    <dbPr connection="Provider=Microsoft.Mashup.OleDb.1;Data Source=$Workbook$;Location=MESSA_Project;Extended Properties=&quot;&quot;" commandType="0"/>
  </connection>
  <connection id="438" xr16:uid="{08052D77-F4E2-49EA-AF8A-F9EB6D214333}" keepAlive="1" name="Connection89" type="5" refreshedVersion="0" background="1">
    <dbPr connection="Provider=Microsoft.Mashup.OleDb.1;Data Source=$Workbook$;Location=MESSA_Project;Extended Properties=&quot;&quot;" commandType="0"/>
  </connection>
  <connection id="439" xr16:uid="{C6498817-AFE4-4B2C-B6E6-940E8C781C7D}" keepAlive="1" name="Connection9" type="5" refreshedVersion="0" background="1">
    <dbPr connection="Provider=Microsoft.Mashup.OleDb.1;Data Source=$Workbook$;Location=MESSA_Project;Extended Properties=&quot;&quot;" commandType="0"/>
  </connection>
  <connection id="440" xr16:uid="{86DFE55C-6DF3-401C-9E17-CD28468CB3C0}" keepAlive="1" name="Connection90" type="5" refreshedVersion="0" background="1">
    <dbPr connection="Provider=Microsoft.Mashup.OleDb.1;Data Source=$Workbook$;Location=MESSA_Project;Extended Properties=&quot;&quot;" commandType="0"/>
  </connection>
  <connection id="441" xr16:uid="{1A9A2D7C-2084-495A-AD3F-374D52288F89}" keepAlive="1" name="Connection91" type="5" refreshedVersion="0" background="1">
    <dbPr connection="Provider=Microsoft.Mashup.OleDb.1;Data Source=$Workbook$;Location=MESSA_Project;Extended Properties=&quot;&quot;" commandType="0"/>
  </connection>
  <connection id="442" xr16:uid="{E31588CF-C7AA-40AB-9CE5-AE2D4B722AC5}" keepAlive="1" name="Connection92" type="5" refreshedVersion="0" background="1">
    <dbPr connection="Provider=Microsoft.Mashup.OleDb.1;Data Source=$Workbook$;Location=MESSA_Project;Extended Properties=&quot;&quot;" commandType="0"/>
  </connection>
  <connection id="443" xr16:uid="{E55791BB-C1EF-4517-8CF1-9C4A10DF740A}" keepAlive="1" name="Connection93" type="5" refreshedVersion="0" background="1">
    <dbPr connection="Provider=Microsoft.Mashup.OleDb.1;Data Source=$Workbook$;Location=MESSA_Project;Extended Properties=&quot;&quot;" commandType="0"/>
  </connection>
  <connection id="444" xr16:uid="{9D2EC992-AA5D-41E0-90AE-5419C6F9FC78}" keepAlive="1" name="Connection94" type="5" refreshedVersion="0" background="1">
    <dbPr connection="Provider=Microsoft.Mashup.OleDb.1;Data Source=$Workbook$;Location=MESSA_Project;Extended Properties=&quot;&quot;" commandType="0"/>
  </connection>
  <connection id="445" xr16:uid="{EB542136-5C22-4D03-A6E6-52392B03D660}" keepAlive="1" name="Connection95" type="5" refreshedVersion="0" background="1">
    <dbPr connection="Provider=Microsoft.Mashup.OleDb.1;Data Source=$Workbook$;Location=MESSA_Project;Extended Properties=&quot;&quot;" commandType="0"/>
  </connection>
  <connection id="446" xr16:uid="{5A4BD00C-62DD-4E85-AE90-B71A77A8C971}" keepAlive="1" name="Connection96" type="5" refreshedVersion="0" background="1">
    <dbPr connection="Provider=Microsoft.Mashup.OleDb.1;Data Source=$Workbook$;Location=MESSA_Project;Extended Properties=&quot;&quot;" commandType="0"/>
  </connection>
  <connection id="447" xr16:uid="{980C2895-6BC1-43F9-A6AE-9C76F8A07204}" keepAlive="1" name="Connection97" type="5" refreshedVersion="0" background="1">
    <dbPr connection="Provider=Microsoft.Mashup.OleDb.1;Data Source=$Workbook$;Location=MESSA_Project;Extended Properties=&quot;&quot;" commandType="0"/>
  </connection>
  <connection id="448" xr16:uid="{3DCD25F6-A380-4CA4-996B-9149B90401CF}" keepAlive="1" name="Connection98" type="5" refreshedVersion="0" background="1">
    <dbPr connection="Provider=Microsoft.Mashup.OleDb.1;Data Source=$Workbook$;Location=MESSA_Project;Extended Properties=&quot;&quot;" commandType="0"/>
  </connection>
  <connection id="449" xr16:uid="{4E1F13D6-437C-4284-958C-5DA741742C97}" keepAlive="1" name="Connection99" type="5" refreshedVersion="0" background="1">
    <dbPr connection="Provider=Microsoft.Mashup.OleDb.1;Data Source=$Workbook$;Location=MESSA_Project;Extended Properties=&quot;&quot;" commandType="0"/>
  </connection>
</connections>
</file>

<file path=xl/sharedStrings.xml><?xml version="1.0" encoding="utf-8"?>
<sst xmlns="http://schemas.openxmlformats.org/spreadsheetml/2006/main" count="5250" uniqueCount="1095">
  <si>
    <t>Month</t>
  </si>
  <si>
    <t>Januray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</si>
  <si>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</si>
  <si>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</si>
  <si>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</si>
  <si>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</si>
  <si>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</si>
  <si>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</si>
  <si>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</si>
  <si>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</si>
  <si>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</si>
  <si>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</si>
  <si>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</si>
  <si>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</si>
  <si>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Enrollment</t>
  </si>
  <si>
    <t>Medical and RX</t>
  </si>
  <si>
    <t>Single</t>
  </si>
  <si>
    <t>2-Person</t>
  </si>
  <si>
    <t>Family</t>
  </si>
  <si>
    <t>2019 rates without taxes</t>
  </si>
  <si>
    <t>Dental</t>
  </si>
  <si>
    <t>Contact Lenses</t>
  </si>
  <si>
    <t>Exam</t>
  </si>
  <si>
    <t>Frames</t>
  </si>
  <si>
    <t>Lenses</t>
  </si>
  <si>
    <t>Miscellaneous</t>
  </si>
  <si>
    <t>PAK A- Teachers &amp; Admins WCC (FT Teachers &amp; Admins)</t>
  </si>
  <si>
    <t>Monthly Rates</t>
  </si>
  <si>
    <t>Annual Rates</t>
  </si>
  <si>
    <t>Gross Rate</t>
  </si>
  <si>
    <t>PAK C- Teachers &amp; Admins WCC (FT Teachers &amp; Admins)</t>
  </si>
  <si>
    <t>Rate Renewal</t>
  </si>
  <si>
    <t>PAK D- Teachers &amp; Admins WCC (FT Teachers &amp; Admins)</t>
  </si>
  <si>
    <t>PAK E- Teachers &amp; Admins WCC (FT Teachers &amp; Admins)</t>
  </si>
  <si>
    <t>Vision (VSP 3 G)</t>
  </si>
  <si>
    <t>PAK C- FT Support Staff WCC (FT Support Staff)</t>
  </si>
  <si>
    <t>PAK D- FT Support Staff WCC (FT Support Staff)</t>
  </si>
  <si>
    <t>Vision (VSP 3)</t>
  </si>
  <si>
    <t>[Group 1 Name]</t>
  </si>
  <si>
    <t>[Group X Name]</t>
  </si>
  <si>
    <t>[Year 1]</t>
  </si>
  <si>
    <t>[Year X]</t>
  </si>
  <si>
    <t>[formula generated from VBA]</t>
  </si>
  <si>
    <t>Average</t>
  </si>
  <si>
    <t>Employees</t>
  </si>
  <si>
    <t>Members</t>
  </si>
  <si>
    <t>ReportName</t>
  </si>
  <si>
    <t>ReportDescription</t>
  </si>
  <si>
    <t>AccountName</t>
  </si>
  <si>
    <t>SegmentName</t>
  </si>
  <si>
    <t>ServicesDates</t>
  </si>
  <si>
    <t>PaidDates</t>
  </si>
  <si>
    <t>MESSA Claims Report</t>
  </si>
  <si>
    <t>Claims in Excess of $25,000 and Diagnosis</t>
  </si>
  <si>
    <t xml:space="preserve">Saline Area Schools           </t>
  </si>
  <si>
    <t>Service Dates: 1/29/2017 - 1/28/2019</t>
  </si>
  <si>
    <t>Paid Dates: 1/29/2017 - 3/28/2019</t>
  </si>
  <si>
    <t>PersonNumber</t>
  </si>
  <si>
    <t>ServiceYear</t>
  </si>
  <si>
    <t>MedicalPaidAmount</t>
  </si>
  <si>
    <t>PharmacyPaidAmount</t>
  </si>
  <si>
    <t>MemberCurrentlyEnrolled</t>
  </si>
  <si>
    <t>Yes</t>
  </si>
  <si>
    <t>No</t>
  </si>
  <si>
    <t>ServiceDateYear</t>
  </si>
  <si>
    <t>DiagnosisDescription</t>
  </si>
  <si>
    <t>Abdominal distension (gaseous)</t>
  </si>
  <si>
    <t>Abn findings on dx imaging of abd regions, inc retroperiton</t>
  </si>
  <si>
    <t>Abnormal electrocardiogram [ECG] [EKG]</t>
  </si>
  <si>
    <t>Abnormal finding of blood chemistry, unspecified</t>
  </si>
  <si>
    <t>Abnormal levels of other serum enzymes</t>
  </si>
  <si>
    <t>Abnormal results of liver function studies</t>
  </si>
  <si>
    <t>Abnormal weight gain</t>
  </si>
  <si>
    <t>Abrasion, left knee, initial encounter</t>
  </si>
  <si>
    <t>Achalasia of cardia</t>
  </si>
  <si>
    <t>Acne vulgaris</t>
  </si>
  <si>
    <t>Actinic keratosis</t>
  </si>
  <si>
    <t>Acute abdomen</t>
  </si>
  <si>
    <t>Acute and chronic respiratory failure with hypoxia</t>
  </si>
  <si>
    <t>Acute appendicitis with generalized peritonitis</t>
  </si>
  <si>
    <t>Acute bronchiolitis, unspecified</t>
  </si>
  <si>
    <t>Acute bronchitis, unspecified</t>
  </si>
  <si>
    <t>Acute embolism and thombos of superfic veins of r up extrem</t>
  </si>
  <si>
    <t>Acute embolism and thrombosis of left axillary vein</t>
  </si>
  <si>
    <t>Acute kidney failure, unspecified</t>
  </si>
  <si>
    <t>Acute leukemia of unsp cell type not achieve remission</t>
  </si>
  <si>
    <t>Acute maxillary sinusitis, unspecified</t>
  </si>
  <si>
    <t>Acute myeloblastic leukemia, in relapse</t>
  </si>
  <si>
    <t>Acute myeloblastic leukemia, in remission</t>
  </si>
  <si>
    <t>Acute myeloblastic leukemia, not having achieved remission</t>
  </si>
  <si>
    <t>Acute myocarditis, unspecified</t>
  </si>
  <si>
    <t>Acute on chronic combined systolic and diastolic hrt fail</t>
  </si>
  <si>
    <t>Acute on chronic diastolic (congestive) heart failure</t>
  </si>
  <si>
    <t>Acute on chronic systolic (congestive) heart failure</t>
  </si>
  <si>
    <t>Acute pharyngitis, unspecified</t>
  </si>
  <si>
    <t>Acute posthemorrhagic anemia</t>
  </si>
  <si>
    <t>Acute postprocedural respiratory failure</t>
  </si>
  <si>
    <t>Acute respiratory failure with hypercapnia</t>
  </si>
  <si>
    <t>Acute respiratory failure with hypoxia</t>
  </si>
  <si>
    <t>Acute respiratory failure, unsp w hypoxia or hypercapnia</t>
  </si>
  <si>
    <t>Acute serous otitis media, bilateral</t>
  </si>
  <si>
    <t>Acute serous otitis media, right ear</t>
  </si>
  <si>
    <t>Acute serous otitis media, unspecified ear</t>
  </si>
  <si>
    <t>Acute sinusitis, unspecified</t>
  </si>
  <si>
    <t>Acute suppr otitis media w spon rupt ear drum, right ear</t>
  </si>
  <si>
    <t>Acute suppr otitis media w/o spon rupt ear drum, bilateral</t>
  </si>
  <si>
    <t>Acute suppr otitis media w/o spon rupt ear drum, right ear</t>
  </si>
  <si>
    <t>Acute systolic (congestive) heart failure</t>
  </si>
  <si>
    <t>Acute upper respiratory infection, unspecified</t>
  </si>
  <si>
    <t>Acute vaginitis</t>
  </si>
  <si>
    <t>Acute vulvitis</t>
  </si>
  <si>
    <t>Adjustment disorder with mixed anxiety and depressed mood</t>
  </si>
  <si>
    <t>Aftercare following joint replacement surgery</t>
  </si>
  <si>
    <t>Allergic bronchopulmonary aspergillosis</t>
  </si>
  <si>
    <t>Allergic rhinitis, unspecified</t>
  </si>
  <si>
    <t>Alpha-1-antitrypsin deficiency</t>
  </si>
  <si>
    <t>Altered mental status, unspecified</t>
  </si>
  <si>
    <t>Amyotrophic lateral sclerosis</t>
  </si>
  <si>
    <t>Anemia, unspecified</t>
  </si>
  <si>
    <t>Aneurysm of iliac artery</t>
  </si>
  <si>
    <t>Ankylosing spondylitis of multiple sites in spine</t>
  </si>
  <si>
    <t>Ankylosing spondylitis of unspecified sites in spine</t>
  </si>
  <si>
    <t>Ankylosis, right knee</t>
  </si>
  <si>
    <t>Arthrodesis status</t>
  </si>
  <si>
    <t>Arthropathic psoriasis, unspecified</t>
  </si>
  <si>
    <t>Asymptomatic varicose veins of bilateral lower extremities</t>
  </si>
  <si>
    <t>Atherosclerosis of renal artery</t>
  </si>
  <si>
    <t>Athscl heart disease of native coronary artery w/o ang pctrs</t>
  </si>
  <si>
    <t>Attn-defct hyperactivity disorder, predom inattentive type</t>
  </si>
  <si>
    <t>Awaiting organ transplant status</t>
  </si>
  <si>
    <t>Bacteremia</t>
  </si>
  <si>
    <t>Benign neoplasm of ascending colon</t>
  </si>
  <si>
    <t>Benign neoplasm of cecum</t>
  </si>
  <si>
    <t>Benign neoplasm of mid ear, nasl cav and accessory sinuses</t>
  </si>
  <si>
    <t>Benign neoplasm of other parts of small intestine</t>
  </si>
  <si>
    <t>Benign neoplasm of thyroid gland</t>
  </si>
  <si>
    <t>Benign neoplasm of unspecified bronchus and lung</t>
  </si>
  <si>
    <t>Benign paroxysmal vertigo, left ear</t>
  </si>
  <si>
    <t>Bipolar disorder, current episode mixed, unspecified</t>
  </si>
  <si>
    <t>Bipolar II disorder</t>
  </si>
  <si>
    <t>Bloodstream infection due to central venous catheter, init</t>
  </si>
  <si>
    <t>Body mass index (BMI) 40.0-44.9, adult</t>
  </si>
  <si>
    <t>Bone marrow transplant status</t>
  </si>
  <si>
    <t>Bradycardia, unspecified</t>
  </si>
  <si>
    <t>Bronchiectasis with (acute) exacerbation</t>
  </si>
  <si>
    <t>Bronchiectasis, uncomplicated</t>
  </si>
  <si>
    <t>Bronchitis, not specified as acute or chronic</t>
  </si>
  <si>
    <t>Cardiac arrest, cause unspecified</t>
  </si>
  <si>
    <t>Cardiac arrhythmia, unspecified</t>
  </si>
  <si>
    <t>Cardiomyopathy, unspecified</t>
  </si>
  <si>
    <t>Celiac disease</t>
  </si>
  <si>
    <t>Cellulitis of left lower limb</t>
  </si>
  <si>
    <t>Cellulitis of left upper limb</t>
  </si>
  <si>
    <t>Cellulitis of neck</t>
  </si>
  <si>
    <t>Cellulitis, unspecified</t>
  </si>
  <si>
    <t>Cerebral infarction, unspecified</t>
  </si>
  <si>
    <t>Cervicalgia</t>
  </si>
  <si>
    <t>Chest pain, unspecified</t>
  </si>
  <si>
    <t>Chronic constrictive pericarditis</t>
  </si>
  <si>
    <t>Chronic diastolic (congestive) heart failure</t>
  </si>
  <si>
    <t>Chronic kidney disease, stage 3 (moderate)</t>
  </si>
  <si>
    <t>Chronic pain syndrome</t>
  </si>
  <si>
    <t>Chronic pulmonary edema</t>
  </si>
  <si>
    <t>Chronic respiratory failure, unsp w hypoxia or hypercapnia</t>
  </si>
  <si>
    <t>Chronic rhinitis</t>
  </si>
  <si>
    <t>Chronic sinusitis, unspecified</t>
  </si>
  <si>
    <t>Chronic systolic (congestive) heart failure</t>
  </si>
  <si>
    <t>Complete rotatr-cuff tear/ruptr of left shoulder, not trauma</t>
  </si>
  <si>
    <t>Complete rotatr-cuff tear/ruptr of r shoulder, not trauma</t>
  </si>
  <si>
    <t>Concussion w LOC of 30 minutes or less, init</t>
  </si>
  <si>
    <t>Congenital malformations of intestinal fixation</t>
  </si>
  <si>
    <t>Constipation, unspecified</t>
  </si>
  <si>
    <t>Contusion of scalp, initial encounter</t>
  </si>
  <si>
    <t>Cough</t>
  </si>
  <si>
    <t>Crohn's disease of both small and lg int w/o complications</t>
  </si>
  <si>
    <t>Crohn's disease, unspecified, without complications</t>
  </si>
  <si>
    <t>Cutaneous abscess of left hand</t>
  </si>
  <si>
    <t>Cyst of kidney, acquired</t>
  </si>
  <si>
    <t>Cystoid macular degeneration, right eye</t>
  </si>
  <si>
    <t>Dehydration</t>
  </si>
  <si>
    <t>Dermatitis, unspecified</t>
  </si>
  <si>
    <t>Diarrhea, unspecified</t>
  </si>
  <si>
    <t>Dilated cardiomyopathy</t>
  </si>
  <si>
    <t>Dislocation of internal right hip prosthesis, init encntr</t>
  </si>
  <si>
    <t>Disorder of arteries and arterioles, unspecified</t>
  </si>
  <si>
    <t>Disorder of the skin and subcutaneous tissue, unspecified</t>
  </si>
  <si>
    <t>Disp fx of lateral malleolus of r fibula, 7thD</t>
  </si>
  <si>
    <t>Disp fx of lateral malleolus of right fibula, init</t>
  </si>
  <si>
    <t>Displaced oblique fracture of shaft of right fibula, init</t>
  </si>
  <si>
    <t>Displacement of gastrointestinal prosth dev/grft, init</t>
  </si>
  <si>
    <t>Disruption of internal operation (surgical) wound, NEC, init</t>
  </si>
  <si>
    <t>Dizziness and giddiness</t>
  </si>
  <si>
    <t>Dorsalgia, unspecified</t>
  </si>
  <si>
    <t>Dry eye syndrome of bilateral lacrimal glands</t>
  </si>
  <si>
    <t>Dysmenorrhea, unspecified</t>
  </si>
  <si>
    <t>Dysphagia, unspecified</t>
  </si>
  <si>
    <t>Dyspnea, unspecified</t>
  </si>
  <si>
    <t>Edema of larynx</t>
  </si>
  <si>
    <t>Effusion, right ankle</t>
  </si>
  <si>
    <t>Effusion, right knee</t>
  </si>
  <si>
    <t>Encntr for adjust and mgmt of automatic implntbl card defib</t>
  </si>
  <si>
    <t>Encntr for f/u exam aft trtmt for cond oth than malig neoplm</t>
  </si>
  <si>
    <t>Encntr for follow-up exam after trtmt for malignant neoplasm</t>
  </si>
  <si>
    <t>Encntr for general adult medical exam w/o abnormal findings</t>
  </si>
  <si>
    <t>Encntr for gyn exam (general) (routine) w/o abn findings</t>
  </si>
  <si>
    <t>Encntr for routine child health exam w/o abnormal findings</t>
  </si>
  <si>
    <t>Encntr screen mammogram for malignant neoplasm of breast</t>
  </si>
  <si>
    <t>Encounter for adjustment and management of VAD</t>
  </si>
  <si>
    <t>Encounter for antineoplastic chemotherapy</t>
  </si>
  <si>
    <t>Encounter for breast reconstruction following mastectomy</t>
  </si>
  <si>
    <t>Encounter for fertility preservation procedure</t>
  </si>
  <si>
    <t>Encounter for fertility testing</t>
  </si>
  <si>
    <t>Encounter for fit/adjst of non-vascular catheter</t>
  </si>
  <si>
    <t>Encounter for general adult medical exam w abnormal findings</t>
  </si>
  <si>
    <t>Encounter for immunization</t>
  </si>
  <si>
    <t>Encounter for insertion of intrauterine contraceptive device</t>
  </si>
  <si>
    <t>Encounter for oth general cnsl and advice on contraception</t>
  </si>
  <si>
    <t>Encounter for other orthopedic aftercare</t>
  </si>
  <si>
    <t>Encounter for other preprocedural examination</t>
  </si>
  <si>
    <t>Encounter for other specified aftercare</t>
  </si>
  <si>
    <t>Encounter for other specified special examinations</t>
  </si>
  <si>
    <t>Encounter for palliative care</t>
  </si>
  <si>
    <t>Encounter for preprocedural cardiovascular examination</t>
  </si>
  <si>
    <t>Encounter for removal of sutures</t>
  </si>
  <si>
    <t>Encounter for screening for cardiovascular disorders</t>
  </si>
  <si>
    <t>Encounter for screening for lipoid disorders</t>
  </si>
  <si>
    <t>Encounter for screening for malignant neoplasm of cervix</t>
  </si>
  <si>
    <t>Encounter for screening for malignant neoplasm of colon</t>
  </si>
  <si>
    <t>Encounter for screening for malignant neoplasm of prostate</t>
  </si>
  <si>
    <t>Encounter for screening for other disorder</t>
  </si>
  <si>
    <t>Encounter for therapeutic drug level monitoring</t>
  </si>
  <si>
    <t>Endometriosis of fallopian tube</t>
  </si>
  <si>
    <t>Endometriosis of pelvic peritoneum</t>
  </si>
  <si>
    <t>Enlarged lymph nodes, unspecified</t>
  </si>
  <si>
    <t>Enlarged prostate with lower urinary tract symptoms</t>
  </si>
  <si>
    <t>Epididymitis</t>
  </si>
  <si>
    <t>Epididymo-orchitis</t>
  </si>
  <si>
    <t>Epigastric swelling, mass or lump</t>
  </si>
  <si>
    <t>Epistaxis</t>
  </si>
  <si>
    <t>Essential (primary) hypertension</t>
  </si>
  <si>
    <t>Failure to thrive (child)</t>
  </si>
  <si>
    <t>Family hx of ischem heart dis and oth dis of the circ sys</t>
  </si>
  <si>
    <t>Fatty (change of) liver, not elsewhere classified</t>
  </si>
  <si>
    <t>Febrile neutrophilic dermatosis [Sweet]</t>
  </si>
  <si>
    <t>Female pelvic peritoneal adhesions (postinfective)</t>
  </si>
  <si>
    <t>Fever presenting with conditions classified elsewhere</t>
  </si>
  <si>
    <t>Fever, unspecified</t>
  </si>
  <si>
    <t>Fibrosis due to internal orthopedic prosth dev/grft, init</t>
  </si>
  <si>
    <t>Flu due to oth ident influenza virus w oth resp manifest</t>
  </si>
  <si>
    <t>Flu due to unidentified influenza virus w oth resp manifest</t>
  </si>
  <si>
    <t>Furuncle, unspecified</t>
  </si>
  <si>
    <t>Fussy infant (baby)</t>
  </si>
  <si>
    <t>Gangrene, not elsewhere classified</t>
  </si>
  <si>
    <t>Gastritis, unspecified, without bleeding</t>
  </si>
  <si>
    <t>Gastro-esophageal reflux disease without esophagitis</t>
  </si>
  <si>
    <t>Gastroschisis</t>
  </si>
  <si>
    <t>Gastrostomy malfunction</t>
  </si>
  <si>
    <t>Generalized abdominal pain</t>
  </si>
  <si>
    <t>Generalized anxiety disorder</t>
  </si>
  <si>
    <t>Generalized pustular psoriasis</t>
  </si>
  <si>
    <t>Glaucoma secondary to drugs, left eye, moderate stage</t>
  </si>
  <si>
    <t>Gout, unspecified</t>
  </si>
  <si>
    <t>Gross hematuria</t>
  </si>
  <si>
    <t>Hallux valgus (acquired), unspecified foot</t>
  </si>
  <si>
    <t>Heart failure, unspecified</t>
  </si>
  <si>
    <t>Hemarthrosis, right knee</t>
  </si>
  <si>
    <t>Hematuria, unspecified</t>
  </si>
  <si>
    <t>Hemorrhage of anus and rectum</t>
  </si>
  <si>
    <t>Herpesviral vesicular dermatitis</t>
  </si>
  <si>
    <t>Hypercalcemia</t>
  </si>
  <si>
    <t>Hyperglycemia, unspecified</t>
  </si>
  <si>
    <t>Hyperlipidemia, unspecified</t>
  </si>
  <si>
    <t>Hypertensive chronic kidney disease w stg 1-4/unsp chr kdny</t>
  </si>
  <si>
    <t>Hyphema, left eye</t>
  </si>
  <si>
    <t>Hypokalemia</t>
  </si>
  <si>
    <t>Hypotension, unspecified</t>
  </si>
  <si>
    <t>Hypothyroidism, unspecified</t>
  </si>
  <si>
    <t>Hypoxemia</t>
  </si>
  <si>
    <t>Idiopathic chronic gout, multiple sites, without tophus</t>
  </si>
  <si>
    <t>Idiopathic gout, unspecified ankle and foot</t>
  </si>
  <si>
    <t>Impingement syndrome of left shoulder</t>
  </si>
  <si>
    <t>Impingement syndrome of right shoulder</t>
  </si>
  <si>
    <t>Incomplete rotatr-cuff tear/ruptr of l shoulder, not trauma</t>
  </si>
  <si>
    <t>Infect/inflm reaction due to oth int prosth dev/grft, init</t>
  </si>
  <si>
    <t>Infection following a procedure, initial encounter</t>
  </si>
  <si>
    <t>Infective myocarditis</t>
  </si>
  <si>
    <t>Injury, unspecified</t>
  </si>
  <si>
    <t>Interstitial cystitis (chronic) without hematuria</t>
  </si>
  <si>
    <t>Intussusception</t>
  </si>
  <si>
    <t>Iron deficiency anemia secondary to blood loss (chronic)</t>
  </si>
  <si>
    <t>Iron deficiency anemia, unspecified</t>
  </si>
  <si>
    <t>Irregular menstruation, unspecified</t>
  </si>
  <si>
    <t>Irritable bowel syndrome without diarrhea</t>
  </si>
  <si>
    <t>Isolated myocarditis</t>
  </si>
  <si>
    <t>Juvenile osteochondrosis of tibia and fibula, right leg</t>
  </si>
  <si>
    <t>Laceration w/o fb of l idx fngr w/o damage to nail, init</t>
  </si>
  <si>
    <t>Laceration w/o fb of l idx fngr w/o damage to nail, subs</t>
  </si>
  <si>
    <t>Laceration w/o fb of unsp finger w/o damage to nail, init</t>
  </si>
  <si>
    <t>Laceration without foreign body of left hand, init encntr</t>
  </si>
  <si>
    <t>Local infection due to central venous catheter, init encntr</t>
  </si>
  <si>
    <t>Local infection of the skin and subcutaneous tissue, unsp</t>
  </si>
  <si>
    <t>Localized edema</t>
  </si>
  <si>
    <t>Localized swelling, mass and lump, lower limb, bilateral</t>
  </si>
  <si>
    <t>Localized swelling, mass and lump, neck</t>
  </si>
  <si>
    <t>Localized swelling, mass and lump, right lower limb</t>
  </si>
  <si>
    <t>Localized swelling, mass and lump, unspecified</t>
  </si>
  <si>
    <t>Long term (current) use of anticoagulants</t>
  </si>
  <si>
    <t>Long term (current) use of opiate analgesic</t>
  </si>
  <si>
    <t>Low back pain</t>
  </si>
  <si>
    <t>Lumbago with sciatica, right side</t>
  </si>
  <si>
    <t>Major depressive disorder, recurrent, in partial remission</t>
  </si>
  <si>
    <t>Major depressive disorder, recurrent, moderate</t>
  </si>
  <si>
    <t>Malig neoplasm of lower-outer quadrant of left female breast</t>
  </si>
  <si>
    <t>Malig neoplasm of upper-outer quadrant of left female breast</t>
  </si>
  <si>
    <t>Malig neoplm of lower-outer quadrant of right female breast</t>
  </si>
  <si>
    <t>Malig neoplm of upper-outer quadrant of right female breast</t>
  </si>
  <si>
    <t>Malignant melanoma of other part of trunk</t>
  </si>
  <si>
    <t>Malignant melanoma of skin, unspecified</t>
  </si>
  <si>
    <t>Malignant neoplasm of central portion of right female breast</t>
  </si>
  <si>
    <t>Malignant neoplasm of connective and soft tissue of pelvis</t>
  </si>
  <si>
    <t>Malignant neoplasm of endometrium</t>
  </si>
  <si>
    <t>Malignant neoplasm of prostate</t>
  </si>
  <si>
    <t>Malignant neoplasm of unsp site of right female breast</t>
  </si>
  <si>
    <t>Malignant neoplasm of unsp site of unspecified female breast</t>
  </si>
  <si>
    <t>Malignant neoplasm of uterus, part unspecified</t>
  </si>
  <si>
    <t>Mech compl of gastrointestinal prosth dev/grft, init</t>
  </si>
  <si>
    <t>Mediastinitis</t>
  </si>
  <si>
    <t>Melanocytic nevi of trunk</t>
  </si>
  <si>
    <t>Melanocytic nevi, unspecified</t>
  </si>
  <si>
    <t>Metabolic disorder, unspecified</t>
  </si>
  <si>
    <t>Migraine with aura, not intractable, w/o status migrainosus</t>
  </si>
  <si>
    <t>Mild intermittent asthma, uncomplicated</t>
  </si>
  <si>
    <t>Mild protein-calorie malnutrition</t>
  </si>
  <si>
    <t>Morbid (severe) obesity due to excess calories</t>
  </si>
  <si>
    <t>Multiple fractures of ribs, bilateral, init for clos fx</t>
  </si>
  <si>
    <t>Multiple fractures of ribs, left side, init for clos fx</t>
  </si>
  <si>
    <t>Multiple fractures of ribs, unsp side, init for clos fx</t>
  </si>
  <si>
    <t>Multiple sclerosis</t>
  </si>
  <si>
    <t>Myalgia</t>
  </si>
  <si>
    <t>Myelodysplastic syndrome, unspecified</t>
  </si>
  <si>
    <t>Myocarditis, unspecified</t>
  </si>
  <si>
    <t>Nasal congestion</t>
  </si>
  <si>
    <t>Nausea</t>
  </si>
  <si>
    <t>Nausea with vomiting, unspecified</t>
  </si>
  <si>
    <t>Neoplasm of uncertain behavior of skin</t>
  </si>
  <si>
    <t>Neoplm of uncrt behav of lymphoid,hematpoetc &amp; rel tiss,unsp</t>
  </si>
  <si>
    <t>Neutropenia, unspecified</t>
  </si>
  <si>
    <t>Nodular episcleritis, bilateral</t>
  </si>
  <si>
    <t>Nonalcoholic steatohepatitis (NASH)</t>
  </si>
  <si>
    <t>Non-pressure chronic ulcer of skin of sites w unsp severity</t>
  </si>
  <si>
    <t>Non-prs chronic ulcer oth prt l low leg w fat layer exposed</t>
  </si>
  <si>
    <t>Nonrheumatic mitral (valve) insufficiency</t>
  </si>
  <si>
    <t>Non-ST elevation (NSTEMI) myocardial infarction</t>
  </si>
  <si>
    <t>Nontoxic single thyroid nodule</t>
  </si>
  <si>
    <t>Nontraumatic subdural hemorrhage, unspecified</t>
  </si>
  <si>
    <t>Obstructive sleep apnea (adult) (pediatric)</t>
  </si>
  <si>
    <t>Old myocardial infarction</t>
  </si>
  <si>
    <t>Open angle with borderline findings, high risk, right eye</t>
  </si>
  <si>
    <t>Orchitis</t>
  </si>
  <si>
    <t>Oth abn and inconclusive findings on dx imaging of breast</t>
  </si>
  <si>
    <t>Oth abnormal findings on diagnostic imaging of cnsl</t>
  </si>
  <si>
    <t>Oth benign neoplasm skin/ left lower limb, including hip</t>
  </si>
  <si>
    <t>Oth cond assoc w female genital organs and menstrual cycle</t>
  </si>
  <si>
    <t>Oth disrd of bone density and structure, unspecified site</t>
  </si>
  <si>
    <t>Oth disrd of Eustachian tube, unspecified ear</t>
  </si>
  <si>
    <t>Oth fracture of first lum vertebra, subs for fx w routn heal</t>
  </si>
  <si>
    <t>Oth fracture of right lower leg, init for clos fx</t>
  </si>
  <si>
    <t>Oth fracture of upper and lower end of right fibula, init</t>
  </si>
  <si>
    <t>Oth skin changes due to chr expsr to nonionizing radiation</t>
  </si>
  <si>
    <t>Oth symptoms and signs involving the circ and resp systems</t>
  </si>
  <si>
    <t>Other abnormalities of breathing</t>
  </si>
  <si>
    <t>Other abnormalities of gait and mobility</t>
  </si>
  <si>
    <t>Other abnormality of red blood cells</t>
  </si>
  <si>
    <t>Other acute postprocedural pain</t>
  </si>
  <si>
    <t>Other benign neoplasm of cervix uteri</t>
  </si>
  <si>
    <t>Other benign neoplasm of skin of other parts of face</t>
  </si>
  <si>
    <t>Other benign neoplasm of skin of trunk</t>
  </si>
  <si>
    <t>Other cardiomyopathies</t>
  </si>
  <si>
    <t>Other chest pain</t>
  </si>
  <si>
    <t>Other constipation</t>
  </si>
  <si>
    <t>Other disorders of lung</t>
  </si>
  <si>
    <t>Other dysphagia</t>
  </si>
  <si>
    <t>Other fatigue</t>
  </si>
  <si>
    <t>Other forms of dyspnea</t>
  </si>
  <si>
    <t>Other frontotemporal dementia</t>
  </si>
  <si>
    <t>Other hemorrhoids</t>
  </si>
  <si>
    <t>Other hypertrophic disorders of the skin</t>
  </si>
  <si>
    <t>Other injury of unspecified body region</t>
  </si>
  <si>
    <t>Other intervertebral disc degeneration, lumbar region</t>
  </si>
  <si>
    <t>Other intestinal obstruction</t>
  </si>
  <si>
    <t>Other long term (current) drug therapy</t>
  </si>
  <si>
    <t>Other malaise</t>
  </si>
  <si>
    <t>Other melanin hyperpigmentation</t>
  </si>
  <si>
    <t>Other muscle spasm</t>
  </si>
  <si>
    <t>Other nonspecific abnormal finding of lung field</t>
  </si>
  <si>
    <t>Other pulmonary embolism without acute cor pulmonale</t>
  </si>
  <si>
    <t>Other recurrent depressive disorders</t>
  </si>
  <si>
    <t>Other restrictive cardiomyopathy</t>
  </si>
  <si>
    <t>Other specified abnormal findings of blood chemistry</t>
  </si>
  <si>
    <t>Other specified abnormal immunological findings in serum</t>
  </si>
  <si>
    <t>Other specified deforming dorsopathies, site unspecified</t>
  </si>
  <si>
    <t>Other specified dermatitis</t>
  </si>
  <si>
    <t>Other specified diseases of esophagus</t>
  </si>
  <si>
    <t>Other specified disorders of tendon, left shoulder</t>
  </si>
  <si>
    <t>Other specified disorders of the male genital organs</t>
  </si>
  <si>
    <t>Other specified hypothyroidism</t>
  </si>
  <si>
    <t>Other specified injuries of head, initial encounter</t>
  </si>
  <si>
    <t>Other specified mycoses</t>
  </si>
  <si>
    <t>Other specified noninfective gastroenteritis and colitis</t>
  </si>
  <si>
    <t>Other specified postprocedural states</t>
  </si>
  <si>
    <t>Other specified soft tissue disorders</t>
  </si>
  <si>
    <t>Other symptoms and signs involving the nervous system</t>
  </si>
  <si>
    <t>Other synovitis and tenosynovitis, left hand</t>
  </si>
  <si>
    <t>Other ulcerative colitis without complications</t>
  </si>
  <si>
    <t>Otitis media, unspecified, left ear</t>
  </si>
  <si>
    <t>Otitis media, unspecified, right ear</t>
  </si>
  <si>
    <t>Pain due to internal orthopedic prosth dev/grft, init</t>
  </si>
  <si>
    <t>Pain from cardiac prosth dev/grft, init</t>
  </si>
  <si>
    <t>Pain in left ankle and joints of left foot</t>
  </si>
  <si>
    <t>Pain in left arm</t>
  </si>
  <si>
    <t>Pain in left elbow</t>
  </si>
  <si>
    <t>Pain in left foot</t>
  </si>
  <si>
    <t>Pain in left leg</t>
  </si>
  <si>
    <t>Pain in left lower leg</t>
  </si>
  <si>
    <t>Pain in left shoulder</t>
  </si>
  <si>
    <t>Pain in left toe(s)</t>
  </si>
  <si>
    <t>Pain in right ankle and joints of right foot</t>
  </si>
  <si>
    <t>Pain in right foot</t>
  </si>
  <si>
    <t>Pain in right knee</t>
  </si>
  <si>
    <t>Pain in right shoulder</t>
  </si>
  <si>
    <t>Pain in right toe(s)</t>
  </si>
  <si>
    <t>Pain in thoracic spine</t>
  </si>
  <si>
    <t>Pain in throat</t>
  </si>
  <si>
    <t>Pain in unspecified ankle and joints of unspecified foot</t>
  </si>
  <si>
    <t>Pain in unspecified joint</t>
  </si>
  <si>
    <t>Pain in unspecified knee</t>
  </si>
  <si>
    <t>Pain, unspecified</t>
  </si>
  <si>
    <t>Palpitations</t>
  </si>
  <si>
    <t>Panniculitis, unspecified</t>
  </si>
  <si>
    <t>Paroxysmal atrial fibrillation</t>
  </si>
  <si>
    <t>Pelvic and perineal pain</t>
  </si>
  <si>
    <t>Pericardial effusion (noninflammatory)</t>
  </si>
  <si>
    <t>Peripheral vascular disease, unspecified</t>
  </si>
  <si>
    <t>Personal history of (healed) traumatic fracture</t>
  </si>
  <si>
    <t>Personal history of malignant neoplasm of breast</t>
  </si>
  <si>
    <t>Personal history of other diseases of the digestive system</t>
  </si>
  <si>
    <t>Pinguecula, left eye</t>
  </si>
  <si>
    <t>Pleural effusion, not elsewhere classified</t>
  </si>
  <si>
    <t>Pleurodynia</t>
  </si>
  <si>
    <t>Pneumonia, unspecified organism</t>
  </si>
  <si>
    <t>Pneumonitis due to inhalation of food and vomit</t>
  </si>
  <si>
    <t>Poisoning by unsp drug/meds/biol subst, accidental, init</t>
  </si>
  <si>
    <t>Polycystic ovarian syndrome</t>
  </si>
  <si>
    <t>Polyneuropathy, unspecified</t>
  </si>
  <si>
    <t>Polyp of cervix uteri</t>
  </si>
  <si>
    <t>Postnasal drip</t>
  </si>
  <si>
    <t>Postprocedural air leak</t>
  </si>
  <si>
    <t>Post-traumatic stress disorder, unspecified</t>
  </si>
  <si>
    <t>Preglaucoma, unspecified, bilateral</t>
  </si>
  <si>
    <t>Presence of automatic (implantable) cardiac defibrillator</t>
  </si>
  <si>
    <t>Presence of heart assist device</t>
  </si>
  <si>
    <t>Presence of left artificial knee joint</t>
  </si>
  <si>
    <t>Presence of right artificial hip joint</t>
  </si>
  <si>
    <t>Primary dysmenorrhea</t>
  </si>
  <si>
    <t>Primary iridocyclitis, left eye</t>
  </si>
  <si>
    <t>Primary osteoarthritis, left shoulder</t>
  </si>
  <si>
    <t>Primary osteoarthritis, right shoulder</t>
  </si>
  <si>
    <t>Prsnl hx of TIA (TIA), and cereb infrc w/o resid deficits</t>
  </si>
  <si>
    <t>Psoriasis vulgaris</t>
  </si>
  <si>
    <t>Puckering of macula, left eye</t>
  </si>
  <si>
    <t>Pyoderma</t>
  </si>
  <si>
    <t>Radiculopathy, lumbar region</t>
  </si>
  <si>
    <t>Rash and other nonspecific skin eruption</t>
  </si>
  <si>
    <t>Refractory anemia with excess of blasts, unspecified</t>
  </si>
  <si>
    <t>Respiratory failure, unsp, unsp w hypoxia or hypercapnia</t>
  </si>
  <si>
    <t>Retropharyngeal and parapharyngeal abscess</t>
  </si>
  <si>
    <t>Rheu arthrit w rheu factor of r shoulder w/o org/sys involv</t>
  </si>
  <si>
    <t>Rheu arthritis w rheu factor mult site w/o org/sys involv</t>
  </si>
  <si>
    <t>Rheumatoid arthritis, unspecified</t>
  </si>
  <si>
    <t>Right lower quadrant pain</t>
  </si>
  <si>
    <t>Sarcoid myocarditis</t>
  </si>
  <si>
    <t>Sarcoidosis, unspecified</t>
  </si>
  <si>
    <t>Scar conditions and fibrosis of skin</t>
  </si>
  <si>
    <t>Sec and unsp malig neoplasm of nodes of multiple regions</t>
  </si>
  <si>
    <t>Secondary and unsp malignant neoplasm of lymph node, unsp</t>
  </si>
  <si>
    <t>Secondary osteoarthritis, right shoulder</t>
  </si>
  <si>
    <t>Segmental and somatic dysfunction of cervical region</t>
  </si>
  <si>
    <t>Segmental and somatic dysfunction of lumbar region</t>
  </si>
  <si>
    <t>Sensorineural hearing loss, bilateral</t>
  </si>
  <si>
    <t>Sequelae of unspecified infectious and parasitic disease</t>
  </si>
  <si>
    <t>Severe persistent asthma, uncomplicated</t>
  </si>
  <si>
    <t>Shortness of breath</t>
  </si>
  <si>
    <t>Sleep disorder, unspecified</t>
  </si>
  <si>
    <t>Spinal stenosis, cervical region</t>
  </si>
  <si>
    <t>Spinal stenosis, lumbar region</t>
  </si>
  <si>
    <t>Spontaneous rupture of other tendons, left shoulder</t>
  </si>
  <si>
    <t>Spontaneous rupture of other tendons, right shoulder</t>
  </si>
  <si>
    <t>Sprain of lateral collateral ligament of right knee, init</t>
  </si>
  <si>
    <t>Sprain of lateral collateral ligament of right knee, subs</t>
  </si>
  <si>
    <t>ST elevation (STEMI) myocardial infarction of unsp site</t>
  </si>
  <si>
    <t>Strain of musc/tend the rotator cuff of left shoulder, init</t>
  </si>
  <si>
    <t>Supraglottitis, unspecified, without obstruction</t>
  </si>
  <si>
    <t>Supraventricular tachycardia</t>
  </si>
  <si>
    <t>Syncope and collapse</t>
  </si>
  <si>
    <t>Tachycardia, unspecified</t>
  </si>
  <si>
    <t>Tachypnea, not elsewhere classified</t>
  </si>
  <si>
    <t>Takotsubo syndrome</t>
  </si>
  <si>
    <t>Testicular pain unspecified</t>
  </si>
  <si>
    <t>Tinea unguium</t>
  </si>
  <si>
    <t>Tracheostomy status</t>
  </si>
  <si>
    <t>Traum subdr hem w LOC w dth d/t brain inj bef reg consc,init</t>
  </si>
  <si>
    <t>Trigger thumb, left thumb</t>
  </si>
  <si>
    <t>Tuberculosis of lung</t>
  </si>
  <si>
    <t>Type 2 diab with mild nonp rtnop without macular edema bi</t>
  </si>
  <si>
    <t>Type 2 diabetes mellitus with diabetic mononeuropathy</t>
  </si>
  <si>
    <t>Type 2 diabetes mellitus with diabetic polyneuropathy</t>
  </si>
  <si>
    <t>Type 2 diabetes mellitus with hyperglycemia</t>
  </si>
  <si>
    <t>Type 2 diabetes mellitus with other skin complications</t>
  </si>
  <si>
    <t>Type 2 diabetes mellitus without complications</t>
  </si>
  <si>
    <t>Ulcerative (chronic) pancolitis with rectal bleeding</t>
  </si>
  <si>
    <t>Ulcerative (chronic) pancolitis without complications</t>
  </si>
  <si>
    <t>Ulcerative colitis, unspecified, without complications</t>
  </si>
  <si>
    <t>Unilateral primary osteoarthritis, left knee</t>
  </si>
  <si>
    <t>Unilateral primary osteoarthritis, right knee</t>
  </si>
  <si>
    <t>Unsp fracture of right patella, init for clos fx</t>
  </si>
  <si>
    <t>Unsp fracture of sternum, init encntr for closed fracture</t>
  </si>
  <si>
    <t>Unsp injury of right shoulder and upper arm, init encntr</t>
  </si>
  <si>
    <t>Unspecified abdominal pain</t>
  </si>
  <si>
    <t>Unspecified abnormal findings in urine</t>
  </si>
  <si>
    <t>Unspecified abnormalities of breathing</t>
  </si>
  <si>
    <t>Unspecified acute appendicitis</t>
  </si>
  <si>
    <t>Unspecified acute conjunctivitis, bilateral</t>
  </si>
  <si>
    <t>Unspecified acute lower respiratory infection</t>
  </si>
  <si>
    <t>Unspecified asthma with (acute) exacerbation</t>
  </si>
  <si>
    <t>Unspecified asthma, uncomplicated</t>
  </si>
  <si>
    <t>Unspecified atrial fibrillation</t>
  </si>
  <si>
    <t>Unspecified conjunctivitis</t>
  </si>
  <si>
    <t>Unspecified dementia with behavioral disturbance</t>
  </si>
  <si>
    <t>Unspecified disorder of synovium and tendon, right shoulder</t>
  </si>
  <si>
    <t>Unspecified episcleritis, bilateral</t>
  </si>
  <si>
    <t>Unspecified glaucoma</t>
  </si>
  <si>
    <t>Unspecified hypotony of eye</t>
  </si>
  <si>
    <t>Unspecified infectious disease</t>
  </si>
  <si>
    <t>Unspecified injury of head, initial encounter</t>
  </si>
  <si>
    <t>Unspecified injury of left forearm, initial encounter</t>
  </si>
  <si>
    <t>Unspecified injury of lower back, initial encounter</t>
  </si>
  <si>
    <t>Unspecified injury of neck, initial encounter</t>
  </si>
  <si>
    <t>Unspecified injury of right lower leg, initial encounter</t>
  </si>
  <si>
    <t>Unspecified intestinal obstruction</t>
  </si>
  <si>
    <t>Unspecified iridocyclitis</t>
  </si>
  <si>
    <t>Unspecified lump in breast</t>
  </si>
  <si>
    <t>Unspecified mycosis</t>
  </si>
  <si>
    <t>Unspecified open wound, left lower leg, initial encounter</t>
  </si>
  <si>
    <t>Unspecified open wound, left lower leg, subsequent encounter</t>
  </si>
  <si>
    <t>Unspecified osteoarthritis, unspecified site</t>
  </si>
  <si>
    <t>Unspecified ovarian cyst left side</t>
  </si>
  <si>
    <t>Unspecified protein-calorie malnutrition</t>
  </si>
  <si>
    <t>Unspecified sprain of left foot, initial encounter</t>
  </si>
  <si>
    <t>Unspecified systolic (congestive) heart failure</t>
  </si>
  <si>
    <t>Urinary tract infection, site not specified</t>
  </si>
  <si>
    <t>Varicose veins of bi low extrem w oth complications</t>
  </si>
  <si>
    <t>Varicose veins of bilateral lower extremities with pain</t>
  </si>
  <si>
    <t>Varicose veins of left lower extremities with pain</t>
  </si>
  <si>
    <t>Varicose veins of right low extrm w oth complications</t>
  </si>
  <si>
    <t>Varicose veins of right lower extremities with pain</t>
  </si>
  <si>
    <t>Venous insufficiency (chronic) (peripheral)</t>
  </si>
  <si>
    <t>Ventricular premature depolarization</t>
  </si>
  <si>
    <t>Ventricular tachycardia</t>
  </si>
  <si>
    <t>Viral cardiomyopathy</t>
  </si>
  <si>
    <t>Viral conjunctivitis, unspecified</t>
  </si>
  <si>
    <t>Viral infection, unspecified</t>
  </si>
  <si>
    <t>Viral myocarditis</t>
  </si>
  <si>
    <t>Vomiting, unspecified</t>
  </si>
  <si>
    <t>Weakness</t>
  </si>
  <si>
    <t>Wegener's granulomatosis without renal involvement</t>
  </si>
  <si>
    <t>Xerosis cutis</t>
  </si>
  <si>
    <t>Abnormal findings on dx imaging of heart and cor circ</t>
  </si>
  <si>
    <t>Abnormal findings on dx imaging of liver and biliary tract</t>
  </si>
  <si>
    <t>Abnormal findings on dx imaging of prt digestive tract</t>
  </si>
  <si>
    <t>Abnormal immunological finding in serum, unspecified</t>
  </si>
  <si>
    <t>Abnormal result of other cardiovascular function study</t>
  </si>
  <si>
    <t>Abnormal results of thyroid function studies</t>
  </si>
  <si>
    <t>Abnormal weight loss</t>
  </si>
  <si>
    <t>Acanthosis nigricans</t>
  </si>
  <si>
    <t>Acute cholecystitis</t>
  </si>
  <si>
    <t>Acute embolism and thrombosis of deep veins of r up extrem</t>
  </si>
  <si>
    <t>Acute lymphoblastic leukemia not having achieved remission</t>
  </si>
  <si>
    <t>Acute nasopharyngitis [common cold]</t>
  </si>
  <si>
    <t>Acute pancreatitis without necrosis or infection unsp</t>
  </si>
  <si>
    <t>Acute recurrent maxillary sinusitis</t>
  </si>
  <si>
    <t>Acute suppr otitis media w/o spon rupt ear drum, left ear</t>
  </si>
  <si>
    <t>Adjustment disorder with anxiety</t>
  </si>
  <si>
    <t>Aftercare following surgery for neoplasm</t>
  </si>
  <si>
    <t>Agranulocytosis secondary to cancer chemotherapy</t>
  </si>
  <si>
    <t>Allergic contact dermatitis due to other chemical products</t>
  </si>
  <si>
    <t>Allergic contact dermatitis, unspecified cause</t>
  </si>
  <si>
    <t>Allergic rhinitis due to pollen</t>
  </si>
  <si>
    <t>Anatomical narrow angle, bilateral</t>
  </si>
  <si>
    <t>Anemia due to antineoplastic chemotherapy</t>
  </si>
  <si>
    <t>Anesthesia of skin</t>
  </si>
  <si>
    <t>Angina pectoris, unspecified</t>
  </si>
  <si>
    <t>Angiodysplasia of stomach and duodenum with bleeding</t>
  </si>
  <si>
    <t>Angiodysplasia of stomach and duodenum without bleeding</t>
  </si>
  <si>
    <t>Anxiety disorder, unspecified</t>
  </si>
  <si>
    <t>Asymptomatic menopausal state</t>
  </si>
  <si>
    <t>Atelectasis</t>
  </si>
  <si>
    <t>Autoimmune thyroiditis</t>
  </si>
  <si>
    <t>Bariatric surgery status</t>
  </si>
  <si>
    <t>Benign neoplasm of bones of skull and face</t>
  </si>
  <si>
    <t>Benign neoplasm of descending colon</t>
  </si>
  <si>
    <t>Benign neoplasm of rectum</t>
  </si>
  <si>
    <t>Benign neoplasm of right breast</t>
  </si>
  <si>
    <t>Benign neoplasm of right choroid</t>
  </si>
  <si>
    <t>Benign neoplasm of spinal cord</t>
  </si>
  <si>
    <t>Benign neoplasm of stomach</t>
  </si>
  <si>
    <t>Bilateral primary osteoarthritis of hip</t>
  </si>
  <si>
    <t>Bilateral primary osteoarthritis of knee</t>
  </si>
  <si>
    <t>Bipolar disorder, current episode depressed, moderate</t>
  </si>
  <si>
    <t>Breakdown (mechanical) of cardiac electrode, init encntr</t>
  </si>
  <si>
    <t>Breakdown (mechanical) of cardiac electronic device, init</t>
  </si>
  <si>
    <t>Broken internal right hip prosthesis, initial encounter</t>
  </si>
  <si>
    <t>Calculus of bile duct w/o cholangitis or cholecyst w/o obst</t>
  </si>
  <si>
    <t>Calculus of gallbladder w chronic cholecyst w/o obstruction</t>
  </si>
  <si>
    <t>Calculus of gallbladder w/o cholecystitis w/o obstruction</t>
  </si>
  <si>
    <t>Calculus of GB and bile duct w cholecyst, unsp, w/o obst</t>
  </si>
  <si>
    <t>Calculus of GB and bile duct w/o cholecyst w/o obstruction</t>
  </si>
  <si>
    <t>Calculus of kidney</t>
  </si>
  <si>
    <t>Calculus of ureter</t>
  </si>
  <si>
    <t>Cardiac murmur, unspecified</t>
  </si>
  <si>
    <t>Cardiomyopathy due to drug and external agent</t>
  </si>
  <si>
    <t>Carpal tunnel syndrome, right upper limb</t>
  </si>
  <si>
    <t>Cerebral aneurysm, nonruptured</t>
  </si>
  <si>
    <t>Cholecystitis, unspecified</t>
  </si>
  <si>
    <t>Chronic atrial fibrillation</t>
  </si>
  <si>
    <t>Chronic combined systolic and diastolic hrt fail</t>
  </si>
  <si>
    <t>Chronic kidney disease, stage 2 (mild)</t>
  </si>
  <si>
    <t>Chronic migraine w/o aura, not intractable, w/o stat migr</t>
  </si>
  <si>
    <t>Chronic pansinusitis</t>
  </si>
  <si>
    <t>Compression of brain</t>
  </si>
  <si>
    <t>Contusion of left front wall of thorax, initial encounter</t>
  </si>
  <si>
    <t>Corns and callosities</t>
  </si>
  <si>
    <t>Cranial nerve disorders in diseases classified elsewhere</t>
  </si>
  <si>
    <t>Critical illness myopathy</t>
  </si>
  <si>
    <t>Cystic fibrosis with other intestinal manifestations</t>
  </si>
  <si>
    <t>Cystic fibrosis with other manifestations</t>
  </si>
  <si>
    <t>Cystic fibrosis with pulmonary manifestations</t>
  </si>
  <si>
    <t>Cystic fibrosis, unspecified</t>
  </si>
  <si>
    <t>Decreased white blood cell count, unspecified</t>
  </si>
  <si>
    <t>Dental caries, unspecified</t>
  </si>
  <si>
    <t>Dependence on respirator [ventilator] status</t>
  </si>
  <si>
    <t>Diffuse cystic mastopathy of right breast</t>
  </si>
  <si>
    <t>Diplopia</t>
  </si>
  <si>
    <t>Disease of spinal cord, unspecified</t>
  </si>
  <si>
    <t>Disorder of white blood cells, unspecified</t>
  </si>
  <si>
    <t>Disorientation, unspecified</t>
  </si>
  <si>
    <t>Dvrtclos of intest, part unsp, w/o perf or abscess w/o bleed</t>
  </si>
  <si>
    <t>Dvtrcli of intest, part unsp, w/o perf or abscess w/o bleed</t>
  </si>
  <si>
    <t>Dysphagia, oropharyngeal phase</t>
  </si>
  <si>
    <t>Dysphonia</t>
  </si>
  <si>
    <t>Dysthymic disorder</t>
  </si>
  <si>
    <t>Effusion, left elbow</t>
  </si>
  <si>
    <t>Elevated carcinoembryonic antigen [CEA]</t>
  </si>
  <si>
    <t>Elevated prostate specific antigen [PSA]</t>
  </si>
  <si>
    <t>Encephalopathy, unspecified</t>
  </si>
  <si>
    <t>Encntr for adjust and mgmt of implnt visual substitution dev</t>
  </si>
  <si>
    <t>Encounter for antineoplastic radiation therapy</t>
  </si>
  <si>
    <t>Encounter for assisted reprodctv fertility procedure cycle</t>
  </si>
  <si>
    <t>Encounter for examination and observation for unsp reason</t>
  </si>
  <si>
    <t>Encounter for preprocedural laboratory examination</t>
  </si>
  <si>
    <t>Encounter for removal of internal fixation device</t>
  </si>
  <si>
    <t>Encounter for screening for nutritional disorder</t>
  </si>
  <si>
    <t>Encounter for screening for upper gastrointestinal disorder</t>
  </si>
  <si>
    <t>End stage renal disease</t>
  </si>
  <si>
    <t>Endometriosis, unspecified</t>
  </si>
  <si>
    <t>Eosinophilia</t>
  </si>
  <si>
    <t>Epidermal cyst</t>
  </si>
  <si>
    <t>Epigastric pain</t>
  </si>
  <si>
    <t>Estrogen receptor positive status [ER+]</t>
  </si>
  <si>
    <t>Excessive and frequent menstruation with irregular cycle</t>
  </si>
  <si>
    <t>Exocrine pancreatic insufficiency</t>
  </si>
  <si>
    <t>Fibrosclerosis of right breast</t>
  </si>
  <si>
    <t>Flat foot [pes planus] (acquired), right foot</t>
  </si>
  <si>
    <t>Foot drop, right foot</t>
  </si>
  <si>
    <t>Fracture of unsp metatarsal bone(s), left foot, init</t>
  </si>
  <si>
    <t>Fracture of unsp phalanx of unsp thumb, init for clos fx</t>
  </si>
  <si>
    <t>Frequency of micturition</t>
  </si>
  <si>
    <t>Fusion of spine, thoracic region</t>
  </si>
  <si>
    <t>Gastrointestinal hemorrhage, unspecified</t>
  </si>
  <si>
    <t>Generalized abdominal tenderness</t>
  </si>
  <si>
    <t>Generalized enlarged lymph nodes</t>
  </si>
  <si>
    <t>Granulomatous disorder of the skin, subcu, unsp</t>
  </si>
  <si>
    <t>Headache</t>
  </si>
  <si>
    <t>Heart disease, unspecified</t>
  </si>
  <si>
    <t>Hereditary and idiopathic neuropathy, unspecified</t>
  </si>
  <si>
    <t>History of falling</t>
  </si>
  <si>
    <t>Hyp hrt &amp; chr kdny dis w hrt fail and stg 1-4/unsp chr kdny</t>
  </si>
  <si>
    <t>Hypermetropia, bilateral</t>
  </si>
  <si>
    <t>Hypotony of eye due to other ocular disorders, left eye</t>
  </si>
  <si>
    <t>Idio sleep related nonobstructive alveolar hypoventilation</t>
  </si>
  <si>
    <t>Ileostomy status</t>
  </si>
  <si>
    <t>Immunodeficiency, unspecified</t>
  </si>
  <si>
    <t>Impacted cerumen, right ear</t>
  </si>
  <si>
    <t>Incisional hernia without obstruction or gangrene</t>
  </si>
  <si>
    <t>Incomplete rotatr-cuff tear/ruptr of r shoulder, not trauma</t>
  </si>
  <si>
    <t>Infect/inflm react d/t oth cardi/vasc dev/implnt/grft, subs</t>
  </si>
  <si>
    <t>Infect/inflm react due to oth int orth prosth dev/grft, init</t>
  </si>
  <si>
    <t>Infect/inflm reaction due to int fix of spine, init</t>
  </si>
  <si>
    <t>Inflamed seborrheic keratosis</t>
  </si>
  <si>
    <t>Injury of femoral nrv at hip and thi lev, right leg, init</t>
  </si>
  <si>
    <t>Injury of oth nerves at ankle and foot level, left leg, init</t>
  </si>
  <si>
    <t>Injury of unsp nerve at lower leg level, left leg, init</t>
  </si>
  <si>
    <t>Intervertebral disc disorders w radiculopathy, lumbar region</t>
  </si>
  <si>
    <t>Intra-abd and pelvic swelling, mass and lump, unsp site</t>
  </si>
  <si>
    <t>Intvrt disc disorders w radiculopathy, lumbosacral region</t>
  </si>
  <si>
    <t>Irritable bowel syndrome with diarrhea</t>
  </si>
  <si>
    <t>Left bundle-branch block, unspecified</t>
  </si>
  <si>
    <t>Left lower quadrant pain</t>
  </si>
  <si>
    <t>Left upper quadrant pain</t>
  </si>
  <si>
    <t>Lesion of lateral popliteal nerve, unspecified lower limb</t>
  </si>
  <si>
    <t>Lobar pneumonia, unspecified organism</t>
  </si>
  <si>
    <t>Localized enlarged lymph nodes</t>
  </si>
  <si>
    <t>Localized swelling, mass and lump, head</t>
  </si>
  <si>
    <t>Long term (current) use of antibiotics</t>
  </si>
  <si>
    <t>Long term (current) use of non-steroidal non-inflam (NSAID)</t>
  </si>
  <si>
    <t>Lumbago with sciatica, left side</t>
  </si>
  <si>
    <t>Major depressive disorder, recurrent, in full remission</t>
  </si>
  <si>
    <t>Major depressive disorder, recurrent, mild</t>
  </si>
  <si>
    <t>Major depressive disorder, single episode, mild</t>
  </si>
  <si>
    <t>Major depressive disorder, single episode, moderate</t>
  </si>
  <si>
    <t>Major depressive disorder, single episode, unspecified</t>
  </si>
  <si>
    <t>Male erectile dysfunction, unspecified</t>
  </si>
  <si>
    <t>Malig neoplasm of lower-inner quadrant of left female breast</t>
  </si>
  <si>
    <t>Malig neoplasm of upper-inner quadrant of left female breast</t>
  </si>
  <si>
    <t>Malignant neoplasm of accessory sinus, unspecified</t>
  </si>
  <si>
    <t>Malignant neoplasm of anterior wall of nasopharynx</t>
  </si>
  <si>
    <t>Malignant neoplasm of ascending colon</t>
  </si>
  <si>
    <t>Malignant neoplasm of axillary tail of right female breast</t>
  </si>
  <si>
    <t>Malignant neoplasm of cerebrum, except lobes and ventricles</t>
  </si>
  <si>
    <t>Malignant neoplasm of colon, unspecified</t>
  </si>
  <si>
    <t>Malignant neoplasm of connective and soft tissue of thorax</t>
  </si>
  <si>
    <t>Malignant neoplasm of craniopharyngeal duct</t>
  </si>
  <si>
    <t>Malignant neoplasm of head, face and neck</t>
  </si>
  <si>
    <t>Malignant neoplasm of nasopharynx, unspecified</t>
  </si>
  <si>
    <t>Malignant neoplasm of overlapping sites of nasopharynx</t>
  </si>
  <si>
    <t>Malignant neoplasm of ovrlp sites of left female breast</t>
  </si>
  <si>
    <t>Malignant neoplasm of pharynx, unspecified</t>
  </si>
  <si>
    <t>Malignant neoplasm of posterior wall of nasopharynx</t>
  </si>
  <si>
    <t>Malignant neoplasm of spinal meninges</t>
  </si>
  <si>
    <t>Malignant neoplasm of transverse colon</t>
  </si>
  <si>
    <t>Malignant neoplasm of unspecified site of left female breast</t>
  </si>
  <si>
    <t>Mammographic calcifcn found on diagnostic imaging of breast</t>
  </si>
  <si>
    <t>Mech compl of other cardiac electronic device, init encntr</t>
  </si>
  <si>
    <t>Melena</t>
  </si>
  <si>
    <t>Meningitis, unspecified</t>
  </si>
  <si>
    <t>Mental disorder, not otherwise specified</t>
  </si>
  <si>
    <t>Meralgia paresthetica, right lower limb</t>
  </si>
  <si>
    <t>Mild persistent asthma, uncomplicated</t>
  </si>
  <si>
    <t>Mixed conductive and sensorineural hearing loss, unspecified</t>
  </si>
  <si>
    <t>Moderate persistent asthma, uncomplicated</t>
  </si>
  <si>
    <t>Monocytosis (symptomatic)</t>
  </si>
  <si>
    <t>Mononeuropathy, unspecified</t>
  </si>
  <si>
    <t>Muscle spasm of back</t>
  </si>
  <si>
    <t>Muscle weakness (generalized)</t>
  </si>
  <si>
    <t>Muscular dystrophy</t>
  </si>
  <si>
    <t>Mydriasis</t>
  </si>
  <si>
    <t>Myopathy, unspecified</t>
  </si>
  <si>
    <t>Myopia, bilateral</t>
  </si>
  <si>
    <t>Myotonic muscular dystrophy</t>
  </si>
  <si>
    <t>Neoplasm of unspecified behavior of digestive system</t>
  </si>
  <si>
    <t>Neoplasm related pain (acute) (chronic)</t>
  </si>
  <si>
    <t>Nondisp fx of 2nd metatarsal bone, l ft, 7thD</t>
  </si>
  <si>
    <t>Nondisp fx of 3rd metatarsal bone, l ft, 7thD</t>
  </si>
  <si>
    <t>Nondisp fx of second metatarsal bone, left foot, init</t>
  </si>
  <si>
    <t>Nondisp fx of third metatarsal bone, left foot, init</t>
  </si>
  <si>
    <t>Non-prs chronic ulcer oth prt right foot w unsp severity</t>
  </si>
  <si>
    <t>Non-prs chronic ulcer oth prt unsp foot w fat layer exposed</t>
  </si>
  <si>
    <t>Nonspec elev of levels of transamns &amp; lactic acid dehydrgnse</t>
  </si>
  <si>
    <t>Nonspecific intraventricular block</t>
  </si>
  <si>
    <t>Obstruction of bile duct</t>
  </si>
  <si>
    <t>Olecranon bursitis, left elbow</t>
  </si>
  <si>
    <t>Osteomyelitis, unspecified</t>
  </si>
  <si>
    <t>Osteonecrosis, unspecified</t>
  </si>
  <si>
    <t>Otalgia, right ear</t>
  </si>
  <si>
    <t>Oth benign neoplasm skin/ right upper limb, inc shoulder</t>
  </si>
  <si>
    <t>Oth fractures of lower end of left radius, init for clos fx</t>
  </si>
  <si>
    <t>Oth intartic fracture of lower end of left radius, init</t>
  </si>
  <si>
    <t>Oth intartic fx low end l rad, subs for clos fx w routn heal</t>
  </si>
  <si>
    <t>Oth personal risk factors, not elsewhere classified</t>
  </si>
  <si>
    <t>Oth spondylosis w radiculopathy, sacr/sacrocygl region</t>
  </si>
  <si>
    <t>Oth symptoms and signs involving the musculoskeletal system</t>
  </si>
  <si>
    <t>Other abnormal findings in cerebrospinal fluid</t>
  </si>
  <si>
    <t>Other allergic rhinitis</t>
  </si>
  <si>
    <t>Other amnesia</t>
  </si>
  <si>
    <t>Other cervical disc disorders, unspecified cervical region</t>
  </si>
  <si>
    <t>Other chronic pain</t>
  </si>
  <si>
    <t>Other diseases of pharynx</t>
  </si>
  <si>
    <t>Other diseases of vocal cords</t>
  </si>
  <si>
    <t>Other fecal abnormalities</t>
  </si>
  <si>
    <t>Other fluid overload</t>
  </si>
  <si>
    <t>Other hallucinations</t>
  </si>
  <si>
    <t>Other hammer toe(s) (acquired), right foot</t>
  </si>
  <si>
    <t>Other idiopathic scoliosis, lumbar region</t>
  </si>
  <si>
    <t>Other injuries of left eye and orbit, initial encounter</t>
  </si>
  <si>
    <t>Other insomnia</t>
  </si>
  <si>
    <t>Other intervertebral disc degeneration, thoracolumbar region</t>
  </si>
  <si>
    <t>Other intervertebral disc displacement, lumbar region</t>
  </si>
  <si>
    <t>Other intervertebral disc displacement, lumbosacral region</t>
  </si>
  <si>
    <t>Other non-diabetic proliferative retinopathy, left eye</t>
  </si>
  <si>
    <t>Other pancytopenia</t>
  </si>
  <si>
    <t>Other psychoactive substance dependence, uncomplicated</t>
  </si>
  <si>
    <t>Other seasonal allergic rhinitis</t>
  </si>
  <si>
    <t>Other specified anxiety disorders</t>
  </si>
  <si>
    <t>Other specified cardiac arrhythmias</t>
  </si>
  <si>
    <t>Other specified deforming dorsopathies, lumbar region</t>
  </si>
  <si>
    <t>Other specified diseases of anus and rectum</t>
  </si>
  <si>
    <t>Other specified diseases of biliary tract</t>
  </si>
  <si>
    <t>Other specified disorders of carbohydrate metabolism</t>
  </si>
  <si>
    <t>Other specified disorders of Eustachian tube, left ear</t>
  </si>
  <si>
    <t>Other specified disorders of kidney and ureter</t>
  </si>
  <si>
    <t>Other specified disorders of muscle</t>
  </si>
  <si>
    <t>Other specified noninflammatory disorders of vagina</t>
  </si>
  <si>
    <t>Other specified polyneuropathies</t>
  </si>
  <si>
    <t>Other specified respiratory disorders</t>
  </si>
  <si>
    <t>Other specified sepsis</t>
  </si>
  <si>
    <t>Other spondylosis with radiculopathy, lumbar region</t>
  </si>
  <si>
    <t>Other spondylosis, lumbar region</t>
  </si>
  <si>
    <t>Other spondylosis, lumbosacral region</t>
  </si>
  <si>
    <t>Other spondylosis, thoracic region</t>
  </si>
  <si>
    <t>Other ulcerative colitis with rectal bleeding</t>
  </si>
  <si>
    <t>Other viral warts</t>
  </si>
  <si>
    <t>Pain due to other internal prosth devgrft subs</t>
  </si>
  <si>
    <t>Pain in joints of left hand</t>
  </si>
  <si>
    <t>Pain in left hip</t>
  </si>
  <si>
    <t>Pain in right finger(s)</t>
  </si>
  <si>
    <t>Pain in right hip</t>
  </si>
  <si>
    <t>Pain in right leg</t>
  </si>
  <si>
    <t>Pain in unspecified hip</t>
  </si>
  <si>
    <t>Pediculosis due to Pediculus humanus capitis</t>
  </si>
  <si>
    <t>Periprosth fracture around internal prosth r hip jt init</t>
  </si>
  <si>
    <t>Periumbilic abdominal tenderness</t>
  </si>
  <si>
    <t>Periumbilical pain</t>
  </si>
  <si>
    <t>Persistent atrial fibrillation</t>
  </si>
  <si>
    <t>Personal history of colonic polyps</t>
  </si>
  <si>
    <t>Personal history of malignant neoplasm of large intestine</t>
  </si>
  <si>
    <t>Personal history of other diseases of the respiratory system</t>
  </si>
  <si>
    <t>Personal history of other malignant neoplasm of skin</t>
  </si>
  <si>
    <t>Plantar fascial fibromatosis</t>
  </si>
  <si>
    <t>Pneumonia due to other specified bacteria</t>
  </si>
  <si>
    <t>Polyp of colon</t>
  </si>
  <si>
    <t>Postlaminectomy syndrome, not elsewhere classified</t>
  </si>
  <si>
    <t>Presence of cardiac pacemaker</t>
  </si>
  <si>
    <t>Presence of right artificial knee joint</t>
  </si>
  <si>
    <t>Primary insomnia</t>
  </si>
  <si>
    <t>Ptosis of breast</t>
  </si>
  <si>
    <t>Pyoderma gangrenosum</t>
  </si>
  <si>
    <t>Pyothorax without fistula</t>
  </si>
  <si>
    <t>Radiculopathy, cervical region</t>
  </si>
  <si>
    <t>Radiculopathy, lumbosacral region</t>
  </si>
  <si>
    <t>Respiratory tuberculosis unspecified</t>
  </si>
  <si>
    <t>Restless legs syndrome</t>
  </si>
  <si>
    <t>Rheumatic disorders of both mitral and tricuspid valves</t>
  </si>
  <si>
    <t>Right upper quadrant pain</t>
  </si>
  <si>
    <t>Sacrococcygeal disorders, not elsewhere classified</t>
  </si>
  <si>
    <t>Scoliosis, unspecified</t>
  </si>
  <si>
    <t>Scrotal varices</t>
  </si>
  <si>
    <t>Sec and unsp malig neoplasm of axilla and upper limb nodes</t>
  </si>
  <si>
    <t>Secondary malignant neoplasm of brain</t>
  </si>
  <si>
    <t>Secondary malignant neoplasm of oth parts of nervous system</t>
  </si>
  <si>
    <t>Segmental and somatic dysfunction of thoracic region</t>
  </si>
  <si>
    <t>Sepsis, unspecified organism</t>
  </si>
  <si>
    <t>Spondylosis w/o myelopathy or radiculopathy, lumbar region</t>
  </si>
  <si>
    <t>Sprain of unspecified ligament of left ankle, init encntr</t>
  </si>
  <si>
    <t>STEMI involving oth sites</t>
  </si>
  <si>
    <t>Strain of musc/tend the rotator cuff of right shoulder, init</t>
  </si>
  <si>
    <t>Strain of muscle, fascia and tendon at neck level, init</t>
  </si>
  <si>
    <t>Stupor</t>
  </si>
  <si>
    <t>Subluxation of unspecified cervical vertebrae, init encntr</t>
  </si>
  <si>
    <t>Superficial mycosis, unspecified</t>
  </si>
  <si>
    <t>Syringomyelia and syringobulbia</t>
  </si>
  <si>
    <t>Testicular hypofunction</t>
  </si>
  <si>
    <t>Thoracogenic scoliosis, thoracolumbar region</t>
  </si>
  <si>
    <t>Tubulo-interstitial nephritis, not spcf as acute or chronic</t>
  </si>
  <si>
    <t>Type 1 diab with mild nonp rtnop without macular edema bi</t>
  </si>
  <si>
    <t>Type 1 diabetes mellitus with diabetic nephropathy</t>
  </si>
  <si>
    <t>Type 1 diabetes mellitus without complications</t>
  </si>
  <si>
    <t>Type 2 diabetes mellitus w diabetic chronic kidney disease</t>
  </si>
  <si>
    <t>Type 2 diabetes mellitus with diabetic neuropathy, unsp</t>
  </si>
  <si>
    <t>Ulcerative (chronic) pancolitis with unsp complications</t>
  </si>
  <si>
    <t>Ulcerative (chronic) proctitis with unsp complications</t>
  </si>
  <si>
    <t>Ulcerative (chronic) proctitis without complications</t>
  </si>
  <si>
    <t>Ulcerative colitis, unsp with unspecified complications</t>
  </si>
  <si>
    <t>Ulcerative colitis, unspecified with rectal bleeding</t>
  </si>
  <si>
    <t>Umbilical hernia without obstruction or gangrene</t>
  </si>
  <si>
    <t>Underweight</t>
  </si>
  <si>
    <t>Unil inguinal hernia, w/o obst or gangr, not spcf as recur</t>
  </si>
  <si>
    <t>Unilateral primary osteoarthritis, left hip</t>
  </si>
  <si>
    <t>Unilateral primary osteoarthritis, right hip</t>
  </si>
  <si>
    <t>Unsp comp of cardiac and vascular prosth dev/grft, init</t>
  </si>
  <si>
    <t>Unsp complication of internal prosth dev/grft, init</t>
  </si>
  <si>
    <t>Unsp cond assoc w female genital organs and menstrual cycle</t>
  </si>
  <si>
    <t>Unsp fracture of sacrum, init encntr for closed fracture</t>
  </si>
  <si>
    <t>Unsp fracture of unsp forearm, init for clos fx</t>
  </si>
  <si>
    <t>Unspecified acute noninfective otitis externa, left ear</t>
  </si>
  <si>
    <t>Unspecified atrial flutter</t>
  </si>
  <si>
    <t>Unspecified chronic bronchitis</t>
  </si>
  <si>
    <t>Unspecified chronic gastritis without bleeding</t>
  </si>
  <si>
    <t>Unspecified disorder of refraction</t>
  </si>
  <si>
    <t>Unspecified esotropia</t>
  </si>
  <si>
    <t>Unspecified injury of left lower leg, initial encounter</t>
  </si>
  <si>
    <t>Unspecified injury of right foot, initial encounter</t>
  </si>
  <si>
    <t>Unspecified kidney failure</t>
  </si>
  <si>
    <t>Unspecified kyphosis, site unspecified</t>
  </si>
  <si>
    <t>Unspecified mononeuropathy of unspecified upper limb</t>
  </si>
  <si>
    <t>Unspecified open wound, right lower leg, initial encounter</t>
  </si>
  <si>
    <t>Unspecified ovarian cyst right side</t>
  </si>
  <si>
    <t>Unspecified perforation of tympanic membrane, left ear</t>
  </si>
  <si>
    <t>Unspecified TMJ joint disorder unspecified side</t>
  </si>
  <si>
    <t>Unspecified urinary incontinence</t>
  </si>
  <si>
    <t>Unsteadiness on feet</t>
  </si>
  <si>
    <t>Urinary calculus, unspecified</t>
  </si>
  <si>
    <t>Ventricular fibrillation</t>
  </si>
  <si>
    <t>Vertical heterophoria</t>
  </si>
  <si>
    <t>Viral wart, unspecified</t>
  </si>
  <si>
    <t>Acute diastolic (congestive) heart failure</t>
  </si>
  <si>
    <t>Centrilobular emphysema</t>
  </si>
  <si>
    <t>Cerebral infarction due to embolism of unsp cerebral artery</t>
  </si>
  <si>
    <t>Cerebrovascular disease, unspecified</t>
  </si>
  <si>
    <t>Disorder involving the immune mechanism, unspecified</t>
  </si>
  <si>
    <t>Encounter for aftercare following heart transplant</t>
  </si>
  <si>
    <t>Facial weakness</t>
  </si>
  <si>
    <t>Fluid overload, unspecified</t>
  </si>
  <si>
    <t>Heart transplant status</t>
  </si>
  <si>
    <t>Malignant neoplasm of occipital lobe</t>
  </si>
  <si>
    <t>Neoplasm of uncertain behavior of brain, infratentorial</t>
  </si>
  <si>
    <t>Neoplasm of uncertain behavior of brain, unspecified</t>
  </si>
  <si>
    <t>Oth comp of internal orthopedic prosth dev/grft, init</t>
  </si>
  <si>
    <t>Oth complication of cardiac prosth dev/grft, init</t>
  </si>
  <si>
    <t>Pain in left knee</t>
  </si>
  <si>
    <t>Postprocedural hypotension</t>
  </si>
  <si>
    <t>Slurred speech</t>
  </si>
  <si>
    <t>Type 2 diabetes mellitus with unspecified complications</t>
  </si>
  <si>
    <t>AsOfDate</t>
  </si>
  <si>
    <t>Census Data</t>
  </si>
  <si>
    <t>As of Date: 1/28/2019</t>
  </si>
  <si>
    <t>YearOfBirth</t>
  </si>
  <si>
    <t>Gender</t>
  </si>
  <si>
    <t>ZipCode</t>
  </si>
  <si>
    <t>MedicalRxCoverageTier</t>
  </si>
  <si>
    <t>MedicalRxCoveredLives</t>
  </si>
  <si>
    <t>VisionCoverage</t>
  </si>
  <si>
    <t>VisionCoveredLives</t>
  </si>
  <si>
    <t>F</t>
  </si>
  <si>
    <t>No Coverage</t>
  </si>
  <si>
    <t>M</t>
  </si>
  <si>
    <t>Medical Claims Paid and Incurred</t>
  </si>
  <si>
    <t>DateOfService</t>
  </si>
  <si>
    <t>ServiceCategory</t>
  </si>
  <si>
    <t>ClaimCount</t>
  </si>
  <si>
    <t>PaidAmount</t>
  </si>
  <si>
    <t>2017/1</t>
  </si>
  <si>
    <t>In-Patient</t>
  </si>
  <si>
    <t>Lab/X-Ray</t>
  </si>
  <si>
    <t>Medical/Surgical</t>
  </si>
  <si>
    <t>Other Equipment, Devices, and Services</t>
  </si>
  <si>
    <t>Out-Patient</t>
  </si>
  <si>
    <t>2017/2</t>
  </si>
  <si>
    <t>2017/3</t>
  </si>
  <si>
    <t>2017/4</t>
  </si>
  <si>
    <t>2017/5</t>
  </si>
  <si>
    <t>2017/6</t>
  </si>
  <si>
    <t>2017/7</t>
  </si>
  <si>
    <t>2017/8</t>
  </si>
  <si>
    <t>2017/9</t>
  </si>
  <si>
    <t>2017/10</t>
  </si>
  <si>
    <t>2017/11</t>
  </si>
  <si>
    <t>2017/12</t>
  </si>
  <si>
    <t>2018/1</t>
  </si>
  <si>
    <t>2018/2</t>
  </si>
  <si>
    <t>2018/3</t>
  </si>
  <si>
    <t>2018/4</t>
  </si>
  <si>
    <t>2018/5</t>
  </si>
  <si>
    <t>2018/6</t>
  </si>
  <si>
    <t>2018/7</t>
  </si>
  <si>
    <t>2018/8</t>
  </si>
  <si>
    <t>2018/9</t>
  </si>
  <si>
    <t>2018/10</t>
  </si>
  <si>
    <t>2018/11</t>
  </si>
  <si>
    <t>2018/12</t>
  </si>
  <si>
    <t>2019/1</t>
  </si>
  <si>
    <t>Prescription Claims Paid and Incurred</t>
  </si>
  <si>
    <t>BrandChargeAmount</t>
  </si>
  <si>
    <t>BrandPaidAmount</t>
  </si>
  <si>
    <t>GenericChargeAmount</t>
  </si>
  <si>
    <t>GenericPaidAmount</t>
  </si>
  <si>
    <t>SpecialtyChargeAmount</t>
  </si>
  <si>
    <t>SpecialtyPaidAmount</t>
  </si>
  <si>
    <t>TotalChargeAmount</t>
  </si>
  <si>
    <t>TotalPaidAmount</t>
  </si>
  <si>
    <t>Vision Claims Paid and Incurred</t>
  </si>
  <si>
    <t>ChargeAmount</t>
  </si>
  <si>
    <t>NetworkPaidAmount</t>
  </si>
  <si>
    <t>Medical</t>
  </si>
  <si>
    <t>Other Equipment</t>
  </si>
  <si>
    <t>Rx</t>
  </si>
  <si>
    <t>Brand</t>
  </si>
  <si>
    <t>Generic</t>
  </si>
  <si>
    <t>Specialty</t>
  </si>
  <si>
    <t>Vision</t>
  </si>
  <si>
    <t>Medical/RX</t>
  </si>
  <si>
    <t>Average birth year</t>
  </si>
  <si>
    <t>Employees by gender</t>
  </si>
  <si>
    <t>Male:</t>
  </si>
  <si>
    <t>Female:</t>
  </si>
  <si>
    <t>Total:</t>
  </si>
  <si>
    <t>Covered Lives</t>
  </si>
  <si>
    <t>Total Paid in Claims PEPY - Complete Years Only</t>
  </si>
  <si>
    <t>Total Paid in Claims PEPY - Rolling 12</t>
  </si>
  <si>
    <t>2/2018-1/2019</t>
  </si>
  <si>
    <t>2/2017-1/2018</t>
  </si>
  <si>
    <t>Total Paid in Claims PEPY - Year-to-Date</t>
  </si>
  <si>
    <t>1-1/2019</t>
  </si>
  <si>
    <t>Total Paid in Claims PMPM - Past 12 Months</t>
  </si>
  <si>
    <t>1/2019</t>
  </si>
  <si>
    <t>12/2018</t>
  </si>
  <si>
    <t>11/2018</t>
  </si>
  <si>
    <t>10/2018</t>
  </si>
  <si>
    <t>9/2018</t>
  </si>
  <si>
    <t>8/2018</t>
  </si>
  <si>
    <t>7/2018</t>
  </si>
  <si>
    <t>6/2018</t>
  </si>
  <si>
    <t>5/2018</t>
  </si>
  <si>
    <t>4/2018</t>
  </si>
  <si>
    <t>3/2018</t>
  </si>
  <si>
    <t>2/2018</t>
  </si>
  <si>
    <t>Total Paid in Claims PMPM - Total</t>
  </si>
  <si>
    <t>1/2018</t>
  </si>
  <si>
    <t>12/2017</t>
  </si>
  <si>
    <t>11/2017</t>
  </si>
  <si>
    <t>10/2017</t>
  </si>
  <si>
    <t>9/2017</t>
  </si>
  <si>
    <t>8/2017</t>
  </si>
  <si>
    <t>7/2017</t>
  </si>
  <si>
    <t>6/2017</t>
  </si>
  <si>
    <t>5/2017</t>
  </si>
  <si>
    <t>4/2017</t>
  </si>
  <si>
    <t>3/2017</t>
  </si>
  <si>
    <t>2/2017</t>
  </si>
  <si>
    <t>1/2017</t>
  </si>
  <si>
    <t>Unit Cost Paid in Claims - Past 12 Months</t>
  </si>
  <si>
    <t>Unit Cost Paid in Claims - Total</t>
  </si>
  <si>
    <t>Unit Cost Paid in Medical Claims by Type - Past 12 Months</t>
  </si>
  <si>
    <t>Unit Cost Paid in Vision Claims by Type - Past 12 Months</t>
  </si>
  <si>
    <t>Unit Cost Paid in Medical Claims by Type - Total</t>
  </si>
  <si>
    <t>Unit Cost Paid in Vision Claims by Type - Total</t>
  </si>
  <si>
    <t>Total Paid in Claims - Complete Years Only</t>
  </si>
  <si>
    <t>Total Paid in Claims - Rolling 12</t>
  </si>
  <si>
    <t>Total Paid in Claims - Year-to-Date</t>
  </si>
  <si>
    <t>Total Paid in Medical Claims by Type - Complete Years Only</t>
  </si>
  <si>
    <t>Total Paid in Rx Claims by Type - Complete Years Only</t>
  </si>
  <si>
    <t>Total Paid in Vision Claims by Type - Complete Years Only</t>
  </si>
  <si>
    <t>Total Paid in Medical Claims by Type - Rolling 12</t>
  </si>
  <si>
    <t>Total Paid in Rx Claims by Type - Rolling 12</t>
  </si>
  <si>
    <t>Total Paid in Vision Claims by Type - Rolling 12</t>
  </si>
  <si>
    <t>Total Paid in Medical Claims by Type - Year-to-Date</t>
  </si>
  <si>
    <t>Total Paid in Rx Claims by Type - Year-to-Date</t>
  </si>
  <si>
    <t>Total Paid in Vision Claims by Type - Year-to-Date</t>
  </si>
  <si>
    <t>Total Paid in Medical Claims PEPY by Type - Complete Years Only</t>
  </si>
  <si>
    <t>Total Paid in Rx Claims PEPY by Type - Complete Years Only</t>
  </si>
  <si>
    <t>Total Paid in Vision Claims PEPY by Type - Complete Years Only</t>
  </si>
  <si>
    <t>Total Paid in Medical Claims PEPY by Type - Rolling 12</t>
  </si>
  <si>
    <t>Total Paid in Rx Claims PEPY by Type - Rolling 12</t>
  </si>
  <si>
    <t>Total Paid in Vision Claims PEPY by Type - Rolling 12</t>
  </si>
  <si>
    <t>Total Paid in Medical Claims PEPY by Type - Year-to-Date</t>
  </si>
  <si>
    <t>Total Paid in Rx Claims PEPY by Type - Year-to-Date</t>
  </si>
  <si>
    <t>Total Paid in Vision Claims PEPY by Type - Year-to-Date</t>
  </si>
  <si>
    <t>Total Paid in Medical Claims PMPM by Type - Past 12 Months</t>
  </si>
  <si>
    <t>Total Paid in Rx Claims PMPM by Type - Past 12 Months</t>
  </si>
  <si>
    <t>Total Cost Paid in Vision Claims PMPM by Type - Past 12 Months</t>
  </si>
  <si>
    <t>Total Paid in Medical Claims PMPM by Type - Total</t>
  </si>
  <si>
    <t>Total Paid in Rx Claims PMPM by Type - Total</t>
  </si>
  <si>
    <t>Total Paid in Vision Claims PMPM by Type - Total</t>
  </si>
  <si>
    <t>Total Paid in Claims - Complete Years and Rolling-12</t>
  </si>
  <si>
    <t>Total Paid in Claims PEPY - Complete Years and Rolling-12</t>
  </si>
  <si>
    <t>Total Paid in Claims PEPM - Total</t>
  </si>
  <si>
    <t>Total Paid in Medical Claims by Type - Total</t>
  </si>
  <si>
    <t>Total Paid in Rx Claims by Type - Total</t>
  </si>
  <si>
    <t>Total Paid in Vision Claims by Type - Total</t>
  </si>
  <si>
    <t>Total Paid in Medical Claims Unit Cost by Type - Complete Years Only</t>
  </si>
  <si>
    <t>Total Paid in Vision Claims Unit Cost by Type - Complete Years Only</t>
  </si>
  <si>
    <t>Total Number of Medical Claims by Type - Rolling-12</t>
  </si>
  <si>
    <t>Total Paid in Medical Claims by Type - Rolling-12</t>
  </si>
  <si>
    <t>Total Paid in Medical Claims Unit Cost by Type - Rolling-12</t>
  </si>
  <si>
    <t>Total Number of Vision Claims by Type - Rolling-12</t>
  </si>
  <si>
    <t>Total Paid Vision Claims by Type - Rolling-12</t>
  </si>
  <si>
    <t>Total Paid in Vision Claims Unit Cost by Type - Rolling-12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</si>
</sst>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&quot;$&quot;#,##0.00"/>
    <numFmt numFmtId="165" formatCode="&quot;$&quot;#,##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CC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0" xfId="0" applyFill="1"/>
    <xf numFmtId="0" fontId="2" fillId="2" borderId="0" xfId="0" applyFont="1" applyFill="1" applyAlignment="1"/>
    <xf numFmtId="0" fontId="2" fillId="2" borderId="0" xfId="0" applyFont="1" applyFill="1" applyBorder="1" applyAlignment="1"/>
    <xf numFmtId="0" fontId="3" fillId="2" borderId="1" xfId="0" applyFont="1" applyFill="1" applyBorder="1"/>
    <xf numFmtId="0" fontId="3" fillId="2" borderId="0" xfId="0" applyFont="1" applyFill="1" applyBorder="1"/>
    <xf numFmtId="164" fontId="0" fillId="2" borderId="0" xfId="0" applyNumberFormat="1" applyFill="1"/>
    <xf numFmtId="0" fontId="0" fillId="2" borderId="0" xfId="0" applyNumberFormat="1" applyFill="1"/>
    <xf numFmtId="0" fontId="1" fillId="2" borderId="0" xfId="0" applyFont="1" applyFill="1"/>
    <xf numFmtId="164" fontId="0" fillId="2" borderId="6" xfId="0" applyNumberFormat="1" applyFill="1" applyBorder="1"/>
    <xf numFmtId="164" fontId="0" fillId="2" borderId="1" xfId="0" applyNumberFormat="1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0" fontId="0" fillId="3" borderId="0" xfId="0" applyFill="1"/>
    <xf numFmtId="0" fontId="3" fillId="3" borderId="1" xfId="0" applyFont="1" applyFill="1" applyBorder="1"/>
    <xf numFmtId="0" fontId="3" fillId="3" borderId="0" xfId="0" applyFont="1" applyFill="1" applyBorder="1"/>
    <xf numFmtId="164" fontId="0" fillId="3" borderId="0" xfId="0" applyNumberFormat="1" applyFill="1"/>
    <xf numFmtId="0" fontId="1" fillId="3" borderId="0" xfId="0" applyFont="1" applyFill="1"/>
    <xf numFmtId="164" fontId="0" fillId="3" borderId="3" xfId="0" applyNumberFormat="1" applyFill="1" applyBorder="1"/>
    <xf numFmtId="164" fontId="0" fillId="3" borderId="1" xfId="0" applyNumberFormat="1" applyFill="1" applyBorder="1"/>
    <xf numFmtId="164" fontId="0" fillId="0" borderId="0" xfId="0" applyNumberFormat="1" applyFill="1"/>
    <xf numFmtId="0" fontId="0" fillId="0" borderId="0" xfId="0" applyFont="1" applyFill="1"/>
    <xf numFmtId="0" fontId="0" fillId="0" borderId="6" xfId="0" applyFont="1" applyFill="1" applyBorder="1" applyAlignment="1"/>
    <xf numFmtId="0" fontId="0" fillId="0" borderId="1" xfId="0" applyFont="1" applyFill="1" applyBorder="1"/>
    <xf numFmtId="0" fontId="0" fillId="0" borderId="1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0" fontId="0" fillId="0" borderId="9" xfId="0" applyFont="1" applyFill="1" applyBorder="1"/>
    <xf numFmtId="164" fontId="0" fillId="0" borderId="0" xfId="0" applyNumberFormat="1" applyFont="1" applyFill="1"/>
    <xf numFmtId="164" fontId="0" fillId="0" borderId="1" xfId="0" applyNumberFormat="1" applyFont="1" applyFill="1" applyBorder="1"/>
    <xf numFmtId="0" fontId="0" fillId="0" borderId="10" xfId="0" applyFont="1" applyFill="1" applyBorder="1"/>
    <xf numFmtId="0" fontId="0" fillId="0" borderId="11" xfId="0" applyFont="1" applyFill="1" applyBorder="1"/>
    <xf numFmtId="164" fontId="0" fillId="0" borderId="8" xfId="0" applyNumberFormat="1" applyFont="1" applyFill="1" applyBorder="1"/>
    <xf numFmtId="8" fontId="0" fillId="0" borderId="1" xfId="0" applyNumberFormat="1" applyFont="1" applyFill="1" applyBorder="1"/>
    <xf numFmtId="8" fontId="0" fillId="0" borderId="7" xfId="0" applyNumberFormat="1" applyFont="1" applyFill="1" applyBorder="1"/>
    <xf numFmtId="0" fontId="0" fillId="0" borderId="0" xfId="0" applyFont="1" applyFill="1" applyBorder="1"/>
    <xf numFmtId="0" fontId="0" fillId="0" borderId="5" xfId="0" applyFont="1" applyFill="1" applyBorder="1"/>
    <xf numFmtId="0" fontId="0" fillId="0" borderId="0" xfId="0" applyFont="1" applyFill="1" applyAlignment="1"/>
    <xf numFmtId="0" fontId="0" fillId="0" borderId="0" xfId="0" applyFont="1" applyFill="1" applyAlignment="1">
      <alignment horizontal="center"/>
    </xf>
    <xf numFmtId="0" fontId="0" fillId="0" borderId="8" xfId="0" applyFont="1" applyFill="1" applyBorder="1"/>
    <xf numFmtId="164" fontId="0" fillId="0" borderId="0" xfId="0" applyNumberFormat="1" applyFill="1" applyBorder="1"/>
    <xf numFmtId="0" fontId="0" fillId="0" borderId="0" xfId="0" applyFont="1" applyBorder="1"/>
    <xf numFmtId="0" fontId="0" fillId="0" borderId="1" xfId="0" applyFont="1" applyBorder="1"/>
    <xf numFmtId="164" fontId="0" fillId="0" borderId="0" xfId="0" applyNumberFormat="1" applyFont="1" applyFill="1" applyBorder="1"/>
    <xf numFmtId="8" fontId="0" fillId="0" borderId="8" xfId="0" applyNumberFormat="1" applyFont="1" applyFill="1" applyBorder="1"/>
    <xf numFmtId="0" fontId="0" fillId="0" borderId="2" xfId="0" applyFont="1" applyFill="1" applyBorder="1"/>
    <xf numFmtId="8" fontId="0" fillId="0" borderId="2" xfId="0" applyNumberFormat="1" applyFont="1" applyFill="1" applyBorder="1"/>
    <xf numFmtId="164" fontId="0" fillId="0" borderId="2" xfId="0" applyNumberFormat="1" applyFont="1" applyFill="1" applyBorder="1"/>
    <xf numFmtId="0" fontId="0" fillId="0" borderId="10" xfId="0" applyFont="1" applyFill="1" applyBorder="1" applyAlignment="1">
      <alignment horizontal="center"/>
    </xf>
    <xf numFmtId="8" fontId="0" fillId="0" borderId="10" xfId="0" applyNumberFormat="1" applyFont="1" applyFill="1" applyBorder="1"/>
    <xf numFmtId="0" fontId="0" fillId="0" borderId="10" xfId="0" applyFont="1" applyFill="1" applyBorder="1" applyAlignment="1"/>
    <xf numFmtId="164" fontId="0" fillId="0" borderId="10" xfId="0" applyNumberFormat="1" applyFont="1" applyFill="1" applyBorder="1"/>
    <xf numFmtId="0" fontId="0" fillId="0" borderId="5" xfId="0" applyFont="1" applyBorder="1"/>
    <xf numFmtId="0" fontId="0" fillId="0" borderId="0" xfId="0" applyFont="1" applyBorder="1" applyAlignment="1"/>
    <xf numFmtId="0" fontId="0" fillId="0" borderId="0" xfId="0" applyNumberFormat="1" applyFont="1" applyFill="1" applyBorder="1"/>
    <xf numFmtId="0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8" fontId="0" fillId="0" borderId="0" xfId="0" applyNumberFormat="1"/>
    <xf numFmtId="3" fontId="0" fillId="0" borderId="0" xfId="0" applyNumberFormat="1"/>
    <xf numFmtId="0" fontId="2" fillId="2" borderId="6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84848"/>
      <color rgb="FFFFCC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Claims - Complete Years Only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Dashboard!$A$36</c:f>
              <c:strCache>
                <c:ptCount val="1"/>
                <c:pt idx="0">
                  <c:v>Medical</c:v>
                </c:pt>
              </c:strCache>
            </c:strRef>
          </c:tx>
          <c:spPr>
            <a:solidFill>
              <a:srgbClr val="3B6EA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Dashboard!$B$35:$C$35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Dashboard!$B$36:$C$36</c:f>
              <c:numCache>
                <c:formatCode>"$"#,##0</c:formatCode>
                <c:ptCount val="2"/>
                <c:pt idx="0">
                  <c:v>5327923.49</c:v>
                </c:pt>
                <c:pt idx="1">
                  <c:v>5190351.5600000005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D9-4F6C-9E32-6465B0F528F6}"/>
            </c:ext>
          </c:extLst>
        </c:ser>
        <c:ser>
          <c:idx val="1"/>
          <c:order val="1"/>
          <c:tx>
            <c:strRef>
              <c:f>Dashboard!$A$37</c:f>
              <c:strCache>
                <c:ptCount val="1"/>
                <c:pt idx="0">
                  <c:v>Rx</c:v>
                </c:pt>
              </c:strCache>
            </c:strRef>
          </c:tx>
          <c:spPr>
            <a:solidFill>
              <a:srgbClr val="E983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Dashboard!$B$35:$C$35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Dashboard!$B$37:$C$37</c:f>
              <c:numCache>
                <c:formatCode>"$"#,##0</c:formatCode>
                <c:ptCount val="2"/>
                <c:pt idx="0">
                  <c:v>965453.79</c:v>
                </c:pt>
                <c:pt idx="1">
                  <c:v>1220986.68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D9-4F6C-9E32-6465B0F528F6}"/>
            </c:ext>
          </c:extLst>
        </c:ser>
        <c:ser>
          <c:idx val="2"/>
          <c:order val="2"/>
          <c:tx>
            <c:strRef>
              <c:f>Dashboard!$A$38</c:f>
              <c:strCache>
                <c:ptCount val="1"/>
                <c:pt idx="0">
                  <c:v>Vision</c:v>
                </c:pt>
              </c:strCache>
            </c:strRef>
          </c:tx>
          <c:spPr>
            <a:solidFill>
              <a:srgbClr val="BCD34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Dashboard!$B$35:$C$35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Dashboard!$B$38:$C$38</c:f>
              <c:numCache>
                <c:formatCode>"$"#,##0</c:formatCode>
                <c:ptCount val="2"/>
                <c:pt idx="0">
                  <c:v>80129.69</c:v>
                </c:pt>
                <c:pt idx="1">
                  <c:v>93580.63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D9-4F6C-9E32-6465B0F52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379935"/>
        <c:axId val="1671935375"/>
      </c:barChart>
      <c:catAx>
        <c:axId val="9423799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1935375"/>
        <c:crosses val="autoZero"/>
        <c:auto val="1"/>
        <c:lblAlgn val="ctr"/>
        <c:lblOffset val="100"/>
        <c:noMultiLvlLbl val="0"/>
      </c:catAx>
      <c:valAx>
        <c:axId val="1671935375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942379935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Claims PEPY - Complete Years Only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Dashboard!$A$3</c:f>
              <c:strCache>
                <c:ptCount val="1"/>
                <c:pt idx="0">
                  <c:v>Medical</c:v>
                </c:pt>
              </c:strCache>
            </c:strRef>
          </c:tx>
          <c:spPr>
            <a:solidFill>
              <a:srgbClr val="3B6EA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Dashboard!$B$2:$C$2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Dashboard!$B$3:$C$3</c:f>
              <c:numCache>
                <c:formatCode>"$"#,##0</c:formatCode>
                <c:ptCount val="2"/>
                <c:pt idx="0">
                  <c:v>11839.829977777777</c:v>
                </c:pt>
                <c:pt idx="1">
                  <c:v>11534.114577777778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28-41DF-A7D1-8959A2D72733}"/>
            </c:ext>
          </c:extLst>
        </c:ser>
        <c:ser>
          <c:idx val="1"/>
          <c:order val="1"/>
          <c:tx>
            <c:strRef>
              <c:f>Dashboard!$A$4</c:f>
              <c:strCache>
                <c:ptCount val="1"/>
                <c:pt idx="0">
                  <c:v>Rx</c:v>
                </c:pt>
              </c:strCache>
            </c:strRef>
          </c:tx>
          <c:spPr>
            <a:solidFill>
              <a:srgbClr val="E983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Dashboard!$B$2:$C$2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Dashboard!$B$4:$C$4</c:f>
              <c:numCache>
                <c:formatCode>"$"#,##0</c:formatCode>
                <c:ptCount val="2"/>
                <c:pt idx="0">
                  <c:v>2145.4528666666665</c:v>
                </c:pt>
                <c:pt idx="1">
                  <c:v>2713.3037333333332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28-41DF-A7D1-8959A2D72733}"/>
            </c:ext>
          </c:extLst>
        </c:ser>
        <c:ser>
          <c:idx val="2"/>
          <c:order val="2"/>
          <c:tx>
            <c:strRef>
              <c:f>Dashboard!$A$5</c:f>
              <c:strCache>
                <c:ptCount val="1"/>
                <c:pt idx="0">
                  <c:v>Vision</c:v>
                </c:pt>
              </c:strCache>
            </c:strRef>
          </c:tx>
          <c:spPr>
            <a:solidFill>
              <a:srgbClr val="BCD34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Dashboard!$B$2:$C$2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Dashboard!$B$5:$C$5</c:f>
              <c:numCache>
                <c:formatCode>"$"#,##0</c:formatCode>
                <c:ptCount val="2"/>
                <c:pt idx="0">
                  <c:v>135.5832318104907</c:v>
                </c:pt>
                <c:pt idx="1">
                  <c:v>158.34285956006769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28-41DF-A7D1-8959A2D72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366335"/>
        <c:axId val="1671941199"/>
      </c:barChart>
      <c:catAx>
        <c:axId val="942366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1941199"/>
        <c:crosses val="autoZero"/>
        <c:auto val="1"/>
        <c:lblAlgn val="ctr"/>
        <c:lblOffset val="100"/>
        <c:noMultiLvlLbl val="0"/>
      </c:catAx>
      <c:valAx>
        <c:axId val="1671941199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942366335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Claims PMPM - Past 12 Months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Dashboard!$A$9</c:f>
              <c:strCache>
                <c:ptCount val="1"/>
                <c:pt idx="0">
                  <c:v>Medical</c:v>
                </c:pt>
              </c:strCache>
            </c:strRef>
          </c:tx>
          <c:spPr>
            <a:ln w="19050" cap="rnd" cmpd="sng" algn="ctr">
              <a:solidFill>
                <a:srgbClr val="3B6EA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Dashboard!$B$8:$M$8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Dashboard!$B$9:$M$9</c:f>
              <c:numCache>
                <c:formatCode>"$"#,##0</c:formatCode>
                <c:ptCount val="12"/>
                <c:pt idx="0">
                  <c:v>254.08624119028974</c:v>
                </c:pt>
                <c:pt idx="1">
                  <c:v>202.60725137039938</c:v>
                </c:pt>
                <c:pt idx="2">
                  <c:v>271.77045418950667</c:v>
                </c:pt>
                <c:pt idx="3">
                  <c:v>337.58085356303837</c:v>
                </c:pt>
                <c:pt idx="4">
                  <c:v>368.04015661707126</c:v>
                </c:pt>
                <c:pt idx="5">
                  <c:v>291.98628817541112</c:v>
                </c:pt>
                <c:pt idx="6">
                  <c:v>584.21475332811281</c:v>
                </c:pt>
                <c:pt idx="7">
                  <c:v>298.17368833202812</c:v>
                </c:pt>
                <c:pt idx="8">
                  <c:v>437.13244322631169</c:v>
                </c:pt>
                <c:pt idx="9">
                  <c:v>360.1194283476899</c:v>
                </c:pt>
                <c:pt idx="10">
                  <c:v>473.58139389193428</c:v>
                </c:pt>
                <c:pt idx="11">
                  <c:v>228.32925606891149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7C-4F48-8313-298B26C41003}"/>
            </c:ext>
          </c:extLst>
        </c:ser>
        <c:ser>
          <c:idx val="1"/>
          <c:order val="1"/>
          <c:tx>
            <c:strRef>
              <c:f>Dashboard!$A$10</c:f>
              <c:strCache>
                <c:ptCount val="1"/>
                <c:pt idx="0">
                  <c:v>Rx</c:v>
                </c:pt>
              </c:strCache>
            </c:strRef>
          </c:tx>
          <c:spPr>
            <a:ln w="19050" cap="rnd" cmpd="sng" algn="ctr">
              <a:solidFill>
                <a:srgbClr val="E983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Dashboard!$B$8:$M$8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Dashboard!$B$10:$M$10</c:f>
              <c:numCache>
                <c:formatCode>"$"#,##0</c:formatCode>
                <c:ptCount val="12"/>
                <c:pt idx="0">
                  <c:v>65.530015661707125</c:v>
                </c:pt>
                <c:pt idx="1">
                  <c:v>80.899005481597499</c:v>
                </c:pt>
                <c:pt idx="2">
                  <c:v>70.447376664056378</c:v>
                </c:pt>
                <c:pt idx="3">
                  <c:v>96.212474549725925</c:v>
                </c:pt>
                <c:pt idx="4">
                  <c:v>91.51102584181676</c:v>
                </c:pt>
                <c:pt idx="5">
                  <c:v>66.737689898198909</c:v>
                </c:pt>
                <c:pt idx="6">
                  <c:v>92.961620986687549</c:v>
                </c:pt>
                <c:pt idx="7">
                  <c:v>74.283437744714178</c:v>
                </c:pt>
                <c:pt idx="8">
                  <c:v>79.770446358653089</c:v>
                </c:pt>
                <c:pt idx="9">
                  <c:v>81.379655442443237</c:v>
                </c:pt>
                <c:pt idx="10">
                  <c:v>105.04173061863744</c:v>
                </c:pt>
                <c:pt idx="11">
                  <c:v>53.496358653093189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7C-4F48-8313-298B26C41003}"/>
            </c:ext>
          </c:extLst>
        </c:ser>
        <c:ser>
          <c:idx val="2"/>
          <c:order val="2"/>
          <c:tx>
            <c:strRef>
              <c:f>Dashboard!$A$11</c:f>
              <c:strCache>
                <c:ptCount val="1"/>
                <c:pt idx="0">
                  <c:v>Vision</c:v>
                </c:pt>
              </c:strCache>
            </c:strRef>
          </c:tx>
          <c:spPr>
            <a:ln w="19050" cap="rnd" cmpd="sng" algn="ctr">
              <a:solidFill>
                <a:srgbClr val="BCD34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Dashboard!$B$8:$M$8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Dashboard!$B$11:$M$11</c:f>
              <c:numCache>
                <c:formatCode>"$"#,##0</c:formatCode>
                <c:ptCount val="12"/>
                <c:pt idx="0">
                  <c:v>3.2335523747560178</c:v>
                </c:pt>
                <c:pt idx="1">
                  <c:v>4.4761093038386468</c:v>
                </c:pt>
                <c:pt idx="2">
                  <c:v>2.5644242029928432</c:v>
                </c:pt>
                <c:pt idx="3">
                  <c:v>3.4735328562134034</c:v>
                </c:pt>
                <c:pt idx="4">
                  <c:v>4.6371242680546523</c:v>
                </c:pt>
                <c:pt idx="5">
                  <c:v>12.390409889394926</c:v>
                </c:pt>
                <c:pt idx="6">
                  <c:v>9.6132140533506814</c:v>
                </c:pt>
                <c:pt idx="7">
                  <c:v>2.4399024072869224</c:v>
                </c:pt>
                <c:pt idx="8">
                  <c:v>3.6006050748210803</c:v>
                </c:pt>
                <c:pt idx="9">
                  <c:v>4.8372218607677286</c:v>
                </c:pt>
                <c:pt idx="10">
                  <c:v>5.0924983734547817</c:v>
                </c:pt>
                <c:pt idx="11">
                  <c:v>2.4809629147690306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7C-4F48-8313-298B26C41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6751583"/>
        <c:axId val="1678453631"/>
      </c:lineChart>
      <c:catAx>
        <c:axId val="2056751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8453631"/>
        <c:crosses val="autoZero"/>
        <c:auto val="1"/>
        <c:lblAlgn val="ctr"/>
        <c:lblOffset val="100"/>
        <c:noMultiLvlLbl val="0"/>
      </c:catAx>
      <c:valAx>
        <c:axId val="1678453631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2056751583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Claims Unit Cost - Past 12 Months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Dashboard!$A$15</c:f>
              <c:strCache>
                <c:ptCount val="1"/>
                <c:pt idx="0">
                  <c:v>Medical</c:v>
                </c:pt>
              </c:strCache>
            </c:strRef>
          </c:tx>
          <c:spPr>
            <a:ln w="19050" cap="rnd" cmpd="sng" algn="ctr">
              <a:solidFill>
                <a:srgbClr val="3B6EAC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Dashboard!$B$14:$M$14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Dashboard!$B$15:$M$15</c:f>
              <c:numCache>
                <c:formatCode>"$"#,##0</c:formatCode>
                <c:ptCount val="12"/>
                <c:pt idx="0">
                  <c:v>236.14856622998545</c:v>
                </c:pt>
                <c:pt idx="1">
                  <c:v>171.57125994694962</c:v>
                </c:pt>
                <c:pt idx="2">
                  <c:v>258.60720566318929</c:v>
                </c:pt>
                <c:pt idx="3">
                  <c:v>277.05061053984576</c:v>
                </c:pt>
                <c:pt idx="4">
                  <c:v>304.19888673139161</c:v>
                </c:pt>
                <c:pt idx="5">
                  <c:v>233.77209404388714</c:v>
                </c:pt>
                <c:pt idx="6">
                  <c:v>382.19377049180326</c:v>
                </c:pt>
                <c:pt idx="7">
                  <c:v>291.32960979341999</c:v>
                </c:pt>
                <c:pt idx="8">
                  <c:v>304.8706335335882</c:v>
                </c:pt>
                <c:pt idx="9">
                  <c:v>276.8648464780253</c:v>
                </c:pt>
                <c:pt idx="10">
                  <c:v>343.61559090909094</c:v>
                </c:pt>
                <c:pt idx="11">
                  <c:v>212.98499634769902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1-4B81-97FD-B9D38AB9978E}"/>
            </c:ext>
          </c:extLst>
        </c:ser>
        <c:ser>
          <c:idx val="1"/>
          <c:order val="1"/>
          <c:tx>
            <c:strRef>
              <c:f>Dashboard!$A$16</c:f>
              <c:strCache>
                <c:ptCount val="1"/>
                <c:pt idx="0">
                  <c:v>Vision</c:v>
                </c:pt>
              </c:strCache>
            </c:strRef>
          </c:tx>
          <c:spPr>
            <a:ln w="19050" cap="rnd" cmpd="sng" algn="ctr">
              <a:solidFill>
                <a:srgbClr val="BCD34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Dashboard!$B$14:$M$14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Dashboard!$B$16:$M$16</c:f>
              <c:numCache>
                <c:formatCode>"$"#,##0</c:formatCode>
                <c:ptCount val="12"/>
                <c:pt idx="0">
                  <c:v>64.545064935064929</c:v>
                </c:pt>
                <c:pt idx="1">
                  <c:v>65.521714285714282</c:v>
                </c:pt>
                <c:pt idx="2">
                  <c:v>66.805423728813565</c:v>
                </c:pt>
                <c:pt idx="3">
                  <c:v>68.44641025641026</c:v>
                </c:pt>
                <c:pt idx="4">
                  <c:v>72.727142857142866</c:v>
                </c:pt>
                <c:pt idx="5">
                  <c:v>77.730857142857147</c:v>
                </c:pt>
                <c:pt idx="6">
                  <c:v>73.509999999999991</c:v>
                </c:pt>
                <c:pt idx="7">
                  <c:v>70.75716981132075</c:v>
                </c:pt>
                <c:pt idx="8">
                  <c:v>77.945492957746481</c:v>
                </c:pt>
                <c:pt idx="9">
                  <c:v>66.382232142857134</c:v>
                </c:pt>
                <c:pt idx="10">
                  <c:v>74.544476190476189</c:v>
                </c:pt>
                <c:pt idx="11">
                  <c:v>76.264800000000008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1-4B81-97FD-B9D38AB99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7831519"/>
        <c:axId val="928131759"/>
      </c:lineChart>
      <c:catAx>
        <c:axId val="917831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28131759"/>
        <c:crosses val="autoZero"/>
        <c:auto val="1"/>
        <c:lblAlgn val="ctr"/>
        <c:lblOffset val="100"/>
        <c:noMultiLvlLbl val="0"/>
      </c:catAx>
      <c:valAx>
        <c:axId val="928131759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917831519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Medical Claims by Type - Complete Years Only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Dashboard!$A$42</c:f>
              <c:strCache>
                <c:ptCount val="1"/>
                <c:pt idx="0">
                  <c:v>Out-Patient</c:v>
                </c:pt>
              </c:strCache>
            </c:strRef>
          </c:tx>
          <c:spPr>
            <a:solidFill>
              <a:srgbClr val="3B6EAC">
                <a:lumMod val="20000"/>
                <a:lumOff val="8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Dashboard!$B$41:$C$41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Dashboard!$B$42:$C$42</c:f>
              <c:numCache>
                <c:formatCode>"$"#,##0</c:formatCode>
                <c:ptCount val="2"/>
                <c:pt idx="0">
                  <c:v>1610936.2900000003</c:v>
                </c:pt>
                <c:pt idx="1">
                  <c:v>1960988.7399999998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73-40FD-B604-2DF3FA559D6D}"/>
            </c:ext>
          </c:extLst>
        </c:ser>
        <c:ser>
          <c:idx val="1"/>
          <c:order val="1"/>
          <c:tx>
            <c:strRef>
              <c:f>Dashboard!$A$43</c:f>
              <c:strCache>
                <c:ptCount val="1"/>
                <c:pt idx="0">
                  <c:v>Other Equipment</c:v>
                </c:pt>
              </c:strCache>
            </c:strRef>
          </c:tx>
          <c:spPr>
            <a:solidFill>
              <a:srgbClr val="3B6EAC">
                <a:lumMod val="46250"/>
                <a:lumOff val="5375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Dashboard!$B$41:$C$41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Dashboard!$B$43:$C$43</c:f>
              <c:numCache>
                <c:formatCode>"$"#,##0</c:formatCode>
                <c:ptCount val="2"/>
                <c:pt idx="0">
                  <c:v>148064.84</c:v>
                </c:pt>
                <c:pt idx="1">
                  <c:v>182339.22999999998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73-40FD-B604-2DF3FA559D6D}"/>
            </c:ext>
          </c:extLst>
        </c:ser>
        <c:ser>
          <c:idx val="2"/>
          <c:order val="2"/>
          <c:tx>
            <c:strRef>
              <c:f>Dashboard!$A$44</c:f>
              <c:strCache>
                <c:ptCount val="1"/>
                <c:pt idx="0">
                  <c:v>Medical/Surgical</c:v>
                </c:pt>
              </c:strCache>
            </c:strRef>
          </c:tx>
          <c:spPr>
            <a:solidFill>
              <a:srgbClr val="3B6EAC">
                <a:lumMod val="72500"/>
                <a:lumOff val="275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Dashboard!$B$41:$C$41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Dashboard!$B$44:$C$44</c:f>
              <c:numCache>
                <c:formatCode>"$"#,##0</c:formatCode>
                <c:ptCount val="2"/>
                <c:pt idx="0">
                  <c:v>1578840.5899999999</c:v>
                </c:pt>
                <c:pt idx="1">
                  <c:v>1595359.5900000003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73-40FD-B604-2DF3FA559D6D}"/>
            </c:ext>
          </c:extLst>
        </c:ser>
        <c:ser>
          <c:idx val="3"/>
          <c:order val="3"/>
          <c:tx>
            <c:strRef>
              <c:f>Dashboard!$A$45</c:f>
              <c:strCache>
                <c:ptCount val="1"/>
                <c:pt idx="0">
                  <c:v>Lab/X-Ray</c:v>
                </c:pt>
              </c:strCache>
            </c:strRef>
          </c:tx>
          <c:spPr>
            <a:solidFill>
              <a:srgbClr val="3B6EAC">
                <a:lumMod val="98750"/>
                <a:lumOff val="125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Dashboard!$B$41:$C$41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Dashboard!$B$45:$C$45</c:f>
              <c:numCache>
                <c:formatCode>"$"#,##0</c:formatCode>
                <c:ptCount val="2"/>
                <c:pt idx="0">
                  <c:v>151412.04</c:v>
                </c:pt>
                <c:pt idx="1">
                  <c:v>163817.65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73-40FD-B604-2DF3FA559D6D}"/>
            </c:ext>
          </c:extLst>
        </c:ser>
        <c:ser>
          <c:idx val="4"/>
          <c:order val="4"/>
          <c:tx>
            <c:strRef>
              <c:f>Dashboard!$A$46</c:f>
              <c:strCache>
                <c:ptCount val="1"/>
                <c:pt idx="0">
                  <c:v>In-Patient</c:v>
                </c:pt>
              </c:strCache>
            </c:strRef>
          </c:tx>
          <c:spPr>
            <a:solidFill>
              <a:srgbClr val="3B6EAC">
                <a:lumMod val="75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Dashboard!$B$41:$C$41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Dashboard!$B$46:$C$46</c:f>
              <c:numCache>
                <c:formatCode>"$"#,##0</c:formatCode>
                <c:ptCount val="2"/>
                <c:pt idx="0">
                  <c:v>1838669.7300000004</c:v>
                </c:pt>
                <c:pt idx="1">
                  <c:v>1287846.3500000001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73-40FD-B604-2DF3FA559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6465471"/>
        <c:axId val="1607281487"/>
      </c:barChart>
      <c:catAx>
        <c:axId val="916465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7281487"/>
        <c:crosses val="autoZero"/>
        <c:auto val="1"/>
        <c:lblAlgn val="ctr"/>
        <c:lblOffset val="100"/>
        <c:noMultiLvlLbl val="0"/>
      </c:catAx>
      <c:valAx>
        <c:axId val="1607281487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916465471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Medical Claims PEPY by Type - Complete Years Only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Dashboard!$A$64</c:f>
              <c:strCache>
                <c:ptCount val="1"/>
                <c:pt idx="0">
                  <c:v>Out-Patient</c:v>
                </c:pt>
              </c:strCache>
            </c:strRef>
          </c:tx>
          <c:spPr>
            <a:solidFill>
              <a:srgbClr val="3B6EAC">
                <a:lumMod val="20000"/>
                <a:lumOff val="8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Dashboard!$B$63:$C$63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Dashboard!$B$64:$C$64</c:f>
              <c:numCache>
                <c:formatCode>"$"#,##0</c:formatCode>
                <c:ptCount val="2"/>
                <c:pt idx="0">
                  <c:v>3579.858422222223</c:v>
                </c:pt>
                <c:pt idx="1">
                  <c:v>4357.7527555555553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A-47B5-BC23-DE261019F860}"/>
            </c:ext>
          </c:extLst>
        </c:ser>
        <c:ser>
          <c:idx val="1"/>
          <c:order val="1"/>
          <c:tx>
            <c:strRef>
              <c:f>Dashboard!$A$65</c:f>
              <c:strCache>
                <c:ptCount val="1"/>
                <c:pt idx="0">
                  <c:v>Other Equipment</c:v>
                </c:pt>
              </c:strCache>
            </c:strRef>
          </c:tx>
          <c:spPr>
            <a:solidFill>
              <a:srgbClr val="3B6EAC">
                <a:lumMod val="46250"/>
                <a:lumOff val="5375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Dashboard!$B$63:$C$63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Dashboard!$B$65:$C$65</c:f>
              <c:numCache>
                <c:formatCode>"$"#,##0</c:formatCode>
                <c:ptCount val="2"/>
                <c:pt idx="0">
                  <c:v>329.03297777777777</c:v>
                </c:pt>
                <c:pt idx="1">
                  <c:v>405.19828888888884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9A-47B5-BC23-DE261019F860}"/>
            </c:ext>
          </c:extLst>
        </c:ser>
        <c:ser>
          <c:idx val="2"/>
          <c:order val="2"/>
          <c:tx>
            <c:strRef>
              <c:f>Dashboard!$A$66</c:f>
              <c:strCache>
                <c:ptCount val="1"/>
                <c:pt idx="0">
                  <c:v>Medical/Surgical</c:v>
                </c:pt>
              </c:strCache>
            </c:strRef>
          </c:tx>
          <c:spPr>
            <a:solidFill>
              <a:srgbClr val="3B6EAC">
                <a:lumMod val="72500"/>
                <a:lumOff val="275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Dashboard!$B$63:$C$63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Dashboard!$B$66:$C$66</c:f>
              <c:numCache>
                <c:formatCode>"$"#,##0</c:formatCode>
                <c:ptCount val="2"/>
                <c:pt idx="0">
                  <c:v>3508.534644444444</c:v>
                </c:pt>
                <c:pt idx="1">
                  <c:v>3545.2435333333342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9A-47B5-BC23-DE261019F860}"/>
            </c:ext>
          </c:extLst>
        </c:ser>
        <c:ser>
          <c:idx val="3"/>
          <c:order val="3"/>
          <c:tx>
            <c:strRef>
              <c:f>Dashboard!$A$67</c:f>
              <c:strCache>
                <c:ptCount val="1"/>
                <c:pt idx="0">
                  <c:v>Lab/X-Ray</c:v>
                </c:pt>
              </c:strCache>
            </c:strRef>
          </c:tx>
          <c:spPr>
            <a:solidFill>
              <a:srgbClr val="3B6EAC">
                <a:lumMod val="98750"/>
                <a:lumOff val="125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Dashboard!$B$63:$C$63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Dashboard!$B$67:$C$67</c:f>
              <c:numCache>
                <c:formatCode>"$"#,##0</c:formatCode>
                <c:ptCount val="2"/>
                <c:pt idx="0">
                  <c:v>336.47120000000001</c:v>
                </c:pt>
                <c:pt idx="1">
                  <c:v>364.03922222222224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9A-47B5-BC23-DE261019F860}"/>
            </c:ext>
          </c:extLst>
        </c:ser>
        <c:ser>
          <c:idx val="4"/>
          <c:order val="4"/>
          <c:tx>
            <c:strRef>
              <c:f>Dashboard!$A$68</c:f>
              <c:strCache>
                <c:ptCount val="1"/>
                <c:pt idx="0">
                  <c:v>In-Patient</c:v>
                </c:pt>
              </c:strCache>
            </c:strRef>
          </c:tx>
          <c:spPr>
            <a:solidFill>
              <a:srgbClr val="3B6EAC">
                <a:lumMod val="75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Dashboard!$B$63:$C$63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Dashboard!$B$68:$C$68</c:f>
              <c:numCache>
                <c:formatCode>"$"#,##0</c:formatCode>
                <c:ptCount val="2"/>
                <c:pt idx="0">
                  <c:v>4085.9327333333345</c:v>
                </c:pt>
                <c:pt idx="1">
                  <c:v>2861.8807777777779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9A-47B5-BC23-DE261019F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0491647"/>
        <c:axId val="928148815"/>
      </c:barChart>
      <c:catAx>
        <c:axId val="2100491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28148815"/>
        <c:crosses val="autoZero"/>
        <c:auto val="1"/>
        <c:lblAlgn val="ctr"/>
        <c:lblOffset val="100"/>
        <c:noMultiLvlLbl val="0"/>
      </c:catAx>
      <c:valAx>
        <c:axId val="928148815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2100491647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Medical Claims PMPM - Past 12 Months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Dashboard!$A$86</c:f>
              <c:strCache>
                <c:ptCount val="1"/>
                <c:pt idx="0">
                  <c:v>Out-Patient</c:v>
                </c:pt>
              </c:strCache>
            </c:strRef>
          </c:tx>
          <c:spPr>
            <a:ln>
              <a:solidFill>
                <a:srgbClr val="3B6EAC">
                  <a:lumMod val="20000"/>
                  <a:lumOff val="80000"/>
                </a:srgbClr>
              </a:solidFill>
            </a:ln>
          </c:spPr>
          <c:marker>
            <c:symbol val="none"/>
          </c:marker>
          <c:cat>
            <c:strRef>
              <c:f>Dashboard!$B$85:$M$85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Dashboard!$B$86:$M$86</c:f>
              <c:numCache>
                <c:formatCode>"$"#,##0</c:formatCode>
                <c:ptCount val="12"/>
                <c:pt idx="0">
                  <c:v>102.9115896632733</c:v>
                </c:pt>
                <c:pt idx="1">
                  <c:v>85.905019577133913</c:v>
                </c:pt>
                <c:pt idx="2">
                  <c:v>113.2466327329679</c:v>
                </c:pt>
                <c:pt idx="3">
                  <c:v>155.4728582615505</c:v>
                </c:pt>
                <c:pt idx="4">
                  <c:v>124.66293657008615</c:v>
                </c:pt>
                <c:pt idx="5">
                  <c:v>102.86148003132341</c:v>
                </c:pt>
                <c:pt idx="6">
                  <c:v>232.72759592795614</c:v>
                </c:pt>
                <c:pt idx="7">
                  <c:v>123.10505090054815</c:v>
                </c:pt>
                <c:pt idx="8">
                  <c:v>132.66832419733751</c:v>
                </c:pt>
                <c:pt idx="9">
                  <c:v>121.64524667188725</c:v>
                </c:pt>
                <c:pt idx="10">
                  <c:v>147.76619420516835</c:v>
                </c:pt>
                <c:pt idx="11">
                  <c:v>49.026014095536418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9-437B-892B-08712DE8B378}"/>
            </c:ext>
          </c:extLst>
        </c:ser>
        <c:ser>
          <c:idx val="1"/>
          <c:order val="1"/>
          <c:tx>
            <c:strRef>
              <c:f>Dashboard!$A$87</c:f>
              <c:strCache>
                <c:ptCount val="1"/>
                <c:pt idx="0">
                  <c:v>Other Equipment</c:v>
                </c:pt>
              </c:strCache>
            </c:strRef>
          </c:tx>
          <c:spPr>
            <a:ln>
              <a:solidFill>
                <a:srgbClr val="3B6EAC">
                  <a:lumMod val="46250"/>
                  <a:lumOff val="53750"/>
                </a:srgbClr>
              </a:solidFill>
            </a:ln>
          </c:spPr>
          <c:marker>
            <c:symbol val="none"/>
          </c:marker>
          <c:cat>
            <c:strRef>
              <c:f>Dashboard!$B$85:$M$85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Dashboard!$B$87:$M$87</c:f>
              <c:numCache>
                <c:formatCode>"$"#,##0</c:formatCode>
                <c:ptCount val="12"/>
                <c:pt idx="0">
                  <c:v>12.583461237274863</c:v>
                </c:pt>
                <c:pt idx="1">
                  <c:v>4.1268676585747848</c:v>
                </c:pt>
                <c:pt idx="2">
                  <c:v>11.970712607674237</c:v>
                </c:pt>
                <c:pt idx="3">
                  <c:v>6.3843696162881756</c:v>
                </c:pt>
                <c:pt idx="4">
                  <c:v>5.9966953797963978</c:v>
                </c:pt>
                <c:pt idx="5">
                  <c:v>14.742701644479249</c:v>
                </c:pt>
                <c:pt idx="6">
                  <c:v>13.752270947533281</c:v>
                </c:pt>
                <c:pt idx="7">
                  <c:v>5.8493970242756461</c:v>
                </c:pt>
                <c:pt idx="8">
                  <c:v>11.464815974941269</c:v>
                </c:pt>
                <c:pt idx="9">
                  <c:v>31.176805011746278</c:v>
                </c:pt>
                <c:pt idx="10">
                  <c:v>10.732599843382928</c:v>
                </c:pt>
                <c:pt idx="11">
                  <c:v>1.436734534064213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9-437B-892B-08712DE8B378}"/>
            </c:ext>
          </c:extLst>
        </c:ser>
        <c:ser>
          <c:idx val="2"/>
          <c:order val="2"/>
          <c:tx>
            <c:strRef>
              <c:f>Dashboard!$A$88</c:f>
              <c:strCache>
                <c:ptCount val="1"/>
                <c:pt idx="0">
                  <c:v>Medical/Surgical</c:v>
                </c:pt>
              </c:strCache>
            </c:strRef>
          </c:tx>
          <c:spPr>
            <a:ln>
              <a:solidFill>
                <a:srgbClr val="3B6EAC">
                  <a:lumMod val="72500"/>
                  <a:lumOff val="27500"/>
                </a:srgbClr>
              </a:solidFill>
            </a:ln>
          </c:spPr>
          <c:marker>
            <c:symbol val="none"/>
          </c:marker>
          <c:cat>
            <c:strRef>
              <c:f>Dashboard!$B$85:$M$85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Dashboard!$B$88:$M$88</c:f>
              <c:numCache>
                <c:formatCode>"$"#,##0</c:formatCode>
                <c:ptCount val="12"/>
                <c:pt idx="0">
                  <c:v>60.437595927956146</c:v>
                </c:pt>
                <c:pt idx="1">
                  <c:v>78.312223962411906</c:v>
                </c:pt>
                <c:pt idx="2">
                  <c:v>76.24722004698512</c:v>
                </c:pt>
                <c:pt idx="3">
                  <c:v>87.292404072043851</c:v>
                </c:pt>
                <c:pt idx="4">
                  <c:v>100.02923257635082</c:v>
                </c:pt>
                <c:pt idx="5">
                  <c:v>111.74826938136258</c:v>
                </c:pt>
                <c:pt idx="6">
                  <c:v>167.52772905246673</c:v>
                </c:pt>
                <c:pt idx="7">
                  <c:v>100.90973375097886</c:v>
                </c:pt>
                <c:pt idx="8">
                  <c:v>146.1490916209867</c:v>
                </c:pt>
                <c:pt idx="9">
                  <c:v>123.71025841816758</c:v>
                </c:pt>
                <c:pt idx="10">
                  <c:v>134.26263899765075</c:v>
                </c:pt>
                <c:pt idx="11">
                  <c:v>40.758739232576353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29-437B-892B-08712DE8B378}"/>
            </c:ext>
          </c:extLst>
        </c:ser>
        <c:ser>
          <c:idx val="3"/>
          <c:order val="3"/>
          <c:tx>
            <c:strRef>
              <c:f>Dashboard!$A$89</c:f>
              <c:strCache>
                <c:ptCount val="1"/>
                <c:pt idx="0">
                  <c:v>Lab/X-Ray</c:v>
                </c:pt>
              </c:strCache>
            </c:strRef>
          </c:tx>
          <c:spPr>
            <a:ln>
              <a:solidFill>
                <a:srgbClr val="3B6EAC">
                  <a:lumMod val="98750"/>
                  <a:lumOff val="1250"/>
                </a:srgbClr>
              </a:solidFill>
            </a:ln>
          </c:spPr>
          <c:marker>
            <c:symbol val="none"/>
          </c:marker>
          <c:cat>
            <c:strRef>
              <c:f>Dashboard!$B$85:$M$85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Dashboard!$B$89:$M$89</c:f>
              <c:numCache>
                <c:formatCode>"$"#,##0</c:formatCode>
                <c:ptCount val="12"/>
                <c:pt idx="0">
                  <c:v>4.5637118245888804</c:v>
                </c:pt>
                <c:pt idx="1">
                  <c:v>5.6836883320281908</c:v>
                </c:pt>
                <c:pt idx="2">
                  <c:v>5.7412920908379013</c:v>
                </c:pt>
                <c:pt idx="3">
                  <c:v>12.033750978856697</c:v>
                </c:pt>
                <c:pt idx="4">
                  <c:v>12.599342208300705</c:v>
                </c:pt>
                <c:pt idx="5">
                  <c:v>11.522176977290524</c:v>
                </c:pt>
                <c:pt idx="6">
                  <c:v>16.515191855912295</c:v>
                </c:pt>
                <c:pt idx="7">
                  <c:v>12.904902114330463</c:v>
                </c:pt>
                <c:pt idx="8">
                  <c:v>12.670368050117462</c:v>
                </c:pt>
                <c:pt idx="9">
                  <c:v>13.198551292090837</c:v>
                </c:pt>
                <c:pt idx="10">
                  <c:v>16.306147220046984</c:v>
                </c:pt>
                <c:pt idx="11">
                  <c:v>3.3134847298355519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29-437B-892B-08712DE8B378}"/>
            </c:ext>
          </c:extLst>
        </c:ser>
        <c:ser>
          <c:idx val="4"/>
          <c:order val="4"/>
          <c:tx>
            <c:strRef>
              <c:f>Dashboard!$A$90</c:f>
              <c:strCache>
                <c:ptCount val="1"/>
                <c:pt idx="0">
                  <c:v>In-Patient</c:v>
                </c:pt>
              </c:strCache>
            </c:strRef>
          </c:tx>
          <c:spPr>
            <a:ln>
              <a:solidFill>
                <a:srgbClr val="3B6EAC">
                  <a:lumMod val="75000"/>
                </a:srgbClr>
              </a:solidFill>
            </a:ln>
          </c:spPr>
          <c:marker>
            <c:symbol val="none"/>
          </c:marker>
          <c:cat>
            <c:strRef>
              <c:f>Dashboard!$B$85:$M$85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Dashboard!$B$90:$M$90</c:f>
              <c:numCache>
                <c:formatCode>"$"#,##0</c:formatCode>
                <c:ptCount val="12"/>
                <c:pt idx="0">
                  <c:v>73.589882537196559</c:v>
                </c:pt>
                <c:pt idx="1">
                  <c:v>28.579451840250588</c:v>
                </c:pt>
                <c:pt idx="2">
                  <c:v>64.564596711041503</c:v>
                </c:pt>
                <c:pt idx="3">
                  <c:v>76.39747063429914</c:v>
                </c:pt>
                <c:pt idx="4">
                  <c:v>124.75194988253719</c:v>
                </c:pt>
                <c:pt idx="5">
                  <c:v>51.111660140955358</c:v>
                </c:pt>
                <c:pt idx="6">
                  <c:v>153.69196554424434</c:v>
                </c:pt>
                <c:pt idx="7">
                  <c:v>55.404604541895061</c:v>
                </c:pt>
                <c:pt idx="8">
                  <c:v>134.17984338292874</c:v>
                </c:pt>
                <c:pt idx="9">
                  <c:v>70.388566953797962</c:v>
                </c:pt>
                <c:pt idx="10">
                  <c:v>164.5138136256852</c:v>
                </c:pt>
                <c:pt idx="11">
                  <c:v>133.79428347689898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29-437B-892B-08712DE8B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7492975"/>
        <c:axId val="928165455"/>
      </c:lineChart>
      <c:catAx>
        <c:axId val="20574929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28165455"/>
        <c:crosses val="autoZero"/>
        <c:auto val="1"/>
        <c:lblAlgn val="ctr"/>
        <c:lblOffset val="100"/>
        <c:noMultiLvlLbl val="0"/>
      </c:catAx>
      <c:valAx>
        <c:axId val="928165455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2057492975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Medical Claims Unit Cost - Past 12 Months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Dashboard!$A$20</c:f>
              <c:strCache>
                <c:ptCount val="1"/>
                <c:pt idx="0">
                  <c:v>Out-Patient</c:v>
                </c:pt>
              </c:strCache>
            </c:strRef>
          </c:tx>
          <c:spPr>
            <a:ln>
              <a:solidFill>
                <a:srgbClr val="3B6EAC">
                  <a:lumMod val="20000"/>
                  <a:lumOff val="80000"/>
                </a:srgbClr>
              </a:solidFill>
            </a:ln>
          </c:spPr>
          <c:marker>
            <c:symbol val="none"/>
          </c:marker>
          <c:cat>
            <c:strRef>
              <c:f>Dashboard!$B$19:$M$19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Dashboard!$B$20:$M$20</c:f>
              <c:numCache>
                <c:formatCode>"$"#,##0</c:formatCode>
                <c:ptCount val="12"/>
                <c:pt idx="0">
                  <c:v>561.61581196581199</c:v>
                </c:pt>
                <c:pt idx="1">
                  <c:v>458.99878661087871</c:v>
                </c:pt>
                <c:pt idx="2">
                  <c:v>618.01688034188044</c:v>
                </c:pt>
                <c:pt idx="3">
                  <c:v>610.88873846153842</c:v>
                </c:pt>
                <c:pt idx="4">
                  <c:v>527.13433774834436</c:v>
                </c:pt>
                <c:pt idx="5">
                  <c:v>409.20283489096568</c:v>
                </c:pt>
                <c:pt idx="6">
                  <c:v>823.24969529085877</c:v>
                </c:pt>
                <c:pt idx="7">
                  <c:v>727.8016203703703</c:v>
                </c:pt>
                <c:pt idx="8">
                  <c:v>544.75064308681681</c:v>
                </c:pt>
                <c:pt idx="9">
                  <c:v>493.14596825396831</c:v>
                </c:pt>
                <c:pt idx="10">
                  <c:v>515.5667486338798</c:v>
                </c:pt>
                <c:pt idx="11">
                  <c:v>267.54794871794871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FC1-8A2A-09BAA654D6C0}"/>
            </c:ext>
          </c:extLst>
        </c:ser>
        <c:ser>
          <c:idx val="1"/>
          <c:order val="1"/>
          <c:tx>
            <c:strRef>
              <c:f>Dashboard!$A$21</c:f>
              <c:strCache>
                <c:ptCount val="1"/>
                <c:pt idx="0">
                  <c:v>Other Equipment</c:v>
                </c:pt>
              </c:strCache>
            </c:strRef>
          </c:tx>
          <c:spPr>
            <a:ln>
              <a:solidFill>
                <a:srgbClr val="3B6EAC">
                  <a:lumMod val="46250"/>
                  <a:lumOff val="53750"/>
                </a:srgbClr>
              </a:solidFill>
            </a:ln>
          </c:spPr>
          <c:marker>
            <c:symbol val="none"/>
          </c:marker>
          <c:cat>
            <c:strRef>
              <c:f>Dashboard!$B$19:$M$19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Dashboard!$B$21:$M$21</c:f>
              <c:numCache>
                <c:formatCode>"$"#,##0</c:formatCode>
                <c:ptCount val="12"/>
                <c:pt idx="0">
                  <c:v>459.11657142857143</c:v>
                </c:pt>
                <c:pt idx="1">
                  <c:v>155.00029411764706</c:v>
                </c:pt>
                <c:pt idx="2">
                  <c:v>363.9666666666667</c:v>
                </c:pt>
                <c:pt idx="3">
                  <c:v>220.34702702702702</c:v>
                </c:pt>
                <c:pt idx="4">
                  <c:v>212.7161111111111</c:v>
                </c:pt>
                <c:pt idx="5">
                  <c:v>369.14568627450979</c:v>
                </c:pt>
                <c:pt idx="6">
                  <c:v>337.7240384615385</c:v>
                </c:pt>
                <c:pt idx="7">
                  <c:v>266.77428571428572</c:v>
                </c:pt>
                <c:pt idx="8">
                  <c:v>325.346</c:v>
                </c:pt>
                <c:pt idx="9">
                  <c:v>780.6427450980392</c:v>
                </c:pt>
                <c:pt idx="10">
                  <c:v>297.94630434782613</c:v>
                </c:pt>
                <c:pt idx="11">
                  <c:v>61.157000000000004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90-4FC1-8A2A-09BAA654D6C0}"/>
            </c:ext>
          </c:extLst>
        </c:ser>
        <c:ser>
          <c:idx val="2"/>
          <c:order val="2"/>
          <c:tx>
            <c:strRef>
              <c:f>Dashboard!$A$22</c:f>
              <c:strCache>
                <c:ptCount val="1"/>
                <c:pt idx="0">
                  <c:v>Medical/Surgical</c:v>
                </c:pt>
              </c:strCache>
            </c:strRef>
          </c:tx>
          <c:spPr>
            <a:ln>
              <a:solidFill>
                <a:srgbClr val="3B6EAC">
                  <a:lumMod val="72500"/>
                  <a:lumOff val="27500"/>
                </a:srgbClr>
              </a:solidFill>
            </a:ln>
          </c:spPr>
          <c:marker>
            <c:symbol val="none"/>
          </c:marker>
          <c:cat>
            <c:strRef>
              <c:f>Dashboard!$B$19:$M$19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Dashboard!$B$22:$M$22</c:f>
              <c:numCache>
                <c:formatCode>"$"#,##0</c:formatCode>
                <c:ptCount val="12"/>
                <c:pt idx="0">
                  <c:v>84.440711159737418</c:v>
                </c:pt>
                <c:pt idx="1">
                  <c:v>100.20512024048097</c:v>
                </c:pt>
                <c:pt idx="2">
                  <c:v>110.14445701357465</c:v>
                </c:pt>
                <c:pt idx="3">
                  <c:v>113.63139653414882</c:v>
                </c:pt>
                <c:pt idx="4">
                  <c:v>129.55104462474645</c:v>
                </c:pt>
                <c:pt idx="5">
                  <c:v>143.99852674066599</c:v>
                </c:pt>
                <c:pt idx="6">
                  <c:v>170.87293130990415</c:v>
                </c:pt>
                <c:pt idx="7">
                  <c:v>145.44213318284423</c:v>
                </c:pt>
                <c:pt idx="8">
                  <c:v>147.65220727848103</c:v>
                </c:pt>
                <c:pt idx="9">
                  <c:v>147.78110383536014</c:v>
                </c:pt>
                <c:pt idx="10">
                  <c:v>157.15251145737855</c:v>
                </c:pt>
                <c:pt idx="11">
                  <c:v>56.329989177489182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90-4FC1-8A2A-09BAA654D6C0}"/>
            </c:ext>
          </c:extLst>
        </c:ser>
        <c:ser>
          <c:idx val="3"/>
          <c:order val="3"/>
          <c:tx>
            <c:strRef>
              <c:f>Dashboard!$A$23</c:f>
              <c:strCache>
                <c:ptCount val="1"/>
                <c:pt idx="0">
                  <c:v>Lab/X-Ray</c:v>
                </c:pt>
              </c:strCache>
            </c:strRef>
          </c:tx>
          <c:spPr>
            <a:ln>
              <a:solidFill>
                <a:srgbClr val="3B6EAC">
                  <a:lumMod val="98750"/>
                  <a:lumOff val="1250"/>
                </a:srgbClr>
              </a:solidFill>
            </a:ln>
          </c:spPr>
          <c:marker>
            <c:symbol val="none"/>
          </c:marker>
          <c:cat>
            <c:strRef>
              <c:f>Dashboard!$B$19:$M$19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Dashboard!$B$23:$M$23</c:f>
              <c:numCache>
                <c:formatCode>"$"#,##0</c:formatCode>
                <c:ptCount val="12"/>
                <c:pt idx="0">
                  <c:v>30.835238095238093</c:v>
                </c:pt>
                <c:pt idx="1">
                  <c:v>31.150515021459228</c:v>
                </c:pt>
                <c:pt idx="2">
                  <c:v>42.875029239766086</c:v>
                </c:pt>
                <c:pt idx="3">
                  <c:v>73.176666666666662</c:v>
                </c:pt>
                <c:pt idx="4">
                  <c:v>77.352692307692308</c:v>
                </c:pt>
                <c:pt idx="5">
                  <c:v>65.394755555555548</c:v>
                </c:pt>
                <c:pt idx="6">
                  <c:v>78.988389513108615</c:v>
                </c:pt>
                <c:pt idx="7">
                  <c:v>98.68</c:v>
                </c:pt>
                <c:pt idx="8">
                  <c:v>83.834507772020729</c:v>
                </c:pt>
                <c:pt idx="9">
                  <c:v>77.314449541284404</c:v>
                </c:pt>
                <c:pt idx="10">
                  <c:v>86.045247933884298</c:v>
                </c:pt>
                <c:pt idx="11">
                  <c:v>24.178971428571426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90-4FC1-8A2A-09BAA654D6C0}"/>
            </c:ext>
          </c:extLst>
        </c:ser>
        <c:ser>
          <c:idx val="4"/>
          <c:order val="4"/>
          <c:tx>
            <c:strRef>
              <c:f>Dashboard!$A$24</c:f>
              <c:strCache>
                <c:ptCount val="1"/>
                <c:pt idx="0">
                  <c:v>In-Patient</c:v>
                </c:pt>
              </c:strCache>
            </c:strRef>
          </c:tx>
          <c:spPr>
            <a:ln>
              <a:solidFill>
                <a:srgbClr val="3B6EAC">
                  <a:lumMod val="75000"/>
                </a:srgbClr>
              </a:solidFill>
            </a:ln>
          </c:spPr>
          <c:marker>
            <c:symbol val="none"/>
          </c:marker>
          <c:cat>
            <c:strRef>
              <c:f>Dashboard!$B$19:$M$19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Dashboard!$B$24:$M$24</c:f>
              <c:numCache>
                <c:formatCode>"$"#,##0</c:formatCode>
                <c:ptCount val="12"/>
                <c:pt idx="0">
                  <c:v>46987.14</c:v>
                </c:pt>
                <c:pt idx="1">
                  <c:v>9123.99</c:v>
                </c:pt>
                <c:pt idx="2">
                  <c:v>7495.3627272727281</c:v>
                </c:pt>
                <c:pt idx="3">
                  <c:v>32519.85666666667</c:v>
                </c:pt>
                <c:pt idx="4">
                  <c:v>12254.48</c:v>
                </c:pt>
                <c:pt idx="5">
                  <c:v>9324.2271428571421</c:v>
                </c:pt>
                <c:pt idx="6">
                  <c:v>9813.232</c:v>
                </c:pt>
                <c:pt idx="7">
                  <c:v>7075.1679999999997</c:v>
                </c:pt>
                <c:pt idx="8">
                  <c:v>9519.3144444444442</c:v>
                </c:pt>
                <c:pt idx="9">
                  <c:v>11235.775</c:v>
                </c:pt>
                <c:pt idx="10">
                  <c:v>14005.609333333334</c:v>
                </c:pt>
                <c:pt idx="11">
                  <c:v>28475.883333333331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90-4FC1-8A2A-09BAA654D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7497775"/>
        <c:axId val="928158383"/>
      </c:lineChart>
      <c:catAx>
        <c:axId val="20574977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28158383"/>
        <c:crosses val="autoZero"/>
        <c:auto val="1"/>
        <c:lblAlgn val="ctr"/>
        <c:lblOffset val="100"/>
        <c:noMultiLvlLbl val="0"/>
      </c:catAx>
      <c:valAx>
        <c:axId val="928158383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2057497775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Rx Claims by Type - Complete Years Only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Dashboard!$A$50</c:f>
              <c:strCache>
                <c:ptCount val="1"/>
                <c:pt idx="0">
                  <c:v>Specialty</c:v>
                </c:pt>
              </c:strCache>
            </c:strRef>
          </c:tx>
          <c:spPr>
            <a:solidFill>
              <a:srgbClr val="E98300">
                <a:lumMod val="40000"/>
                <a:lumOff val="6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Dashboard!$B$49:$C$49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Dashboard!$B$50:$C$50</c:f>
              <c:numCache>
                <c:formatCode>"$"#,##0</c:formatCode>
                <c:ptCount val="2"/>
                <c:pt idx="0">
                  <c:v>405089.24</c:v>
                </c:pt>
                <c:pt idx="1">
                  <c:v>619775.25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67-4DC9-B5A6-369D2C8D8F85}"/>
            </c:ext>
          </c:extLst>
        </c:ser>
        <c:ser>
          <c:idx val="1"/>
          <c:order val="1"/>
          <c:tx>
            <c:strRef>
              <c:f>Dashboard!$A$51</c:f>
              <c:strCache>
                <c:ptCount val="1"/>
                <c:pt idx="0">
                  <c:v>Generic</c:v>
                </c:pt>
              </c:strCache>
            </c:strRef>
          </c:tx>
          <c:spPr>
            <a:solidFill>
              <a:srgbClr val="E98300">
                <a:lumMod val="70000"/>
                <a:lumOff val="3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Dashboard!$B$49:$C$49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Dashboard!$B$51:$C$51</c:f>
              <c:numCache>
                <c:formatCode>"$"#,##0</c:formatCode>
                <c:ptCount val="2"/>
                <c:pt idx="0">
                  <c:v>221177.78999999998</c:v>
                </c:pt>
                <c:pt idx="1">
                  <c:v>245373.66000000003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67-4DC9-B5A6-369D2C8D8F85}"/>
            </c:ext>
          </c:extLst>
        </c:ser>
        <c:ser>
          <c:idx val="2"/>
          <c:order val="2"/>
          <c:tx>
            <c:strRef>
              <c:f>Dashboard!$A$52</c:f>
              <c:strCache>
                <c:ptCount val="1"/>
                <c:pt idx="0">
                  <c:v>Brand</c:v>
                </c:pt>
              </c:strCache>
            </c:strRef>
          </c:tx>
          <c:spPr>
            <a:solidFill>
              <a:srgbClr val="E98300">
                <a:lumMod val="10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Dashboard!$B$49:$C$49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Dashboard!$B$52:$C$52</c:f>
              <c:numCache>
                <c:formatCode>"$"#,##0</c:formatCode>
                <c:ptCount val="2"/>
                <c:pt idx="0">
                  <c:v>744276</c:v>
                </c:pt>
                <c:pt idx="1">
                  <c:v>975613.02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67-4DC9-B5A6-369D2C8D8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5731183"/>
        <c:axId val="928149231"/>
      </c:barChart>
      <c:catAx>
        <c:axId val="2055731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28149231"/>
        <c:crosses val="autoZero"/>
        <c:auto val="1"/>
        <c:lblAlgn val="ctr"/>
        <c:lblOffset val="100"/>
        <c:noMultiLvlLbl val="0"/>
      </c:catAx>
      <c:valAx>
        <c:axId val="928149231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2055731183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Rx Claims PEPY by Type - Complete Years Only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Dashboard!$A$72</c:f>
              <c:strCache>
                <c:ptCount val="1"/>
                <c:pt idx="0">
                  <c:v>Specialty</c:v>
                </c:pt>
              </c:strCache>
            </c:strRef>
          </c:tx>
          <c:spPr>
            <a:solidFill>
              <a:srgbClr val="E98300">
                <a:lumMod val="40000"/>
                <a:lumOff val="6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Dashboard!$B$71:$C$71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Dashboard!$B$72:$C$72</c:f>
              <c:numCache>
                <c:formatCode>"$"#,##0</c:formatCode>
                <c:ptCount val="2"/>
                <c:pt idx="0">
                  <c:v>900.19831111111114</c:v>
                </c:pt>
                <c:pt idx="1">
                  <c:v>1377.2783333333334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6-47B1-89F0-464853CF5237}"/>
            </c:ext>
          </c:extLst>
        </c:ser>
        <c:ser>
          <c:idx val="1"/>
          <c:order val="1"/>
          <c:tx>
            <c:strRef>
              <c:f>Dashboard!$A$73</c:f>
              <c:strCache>
                <c:ptCount val="1"/>
                <c:pt idx="0">
                  <c:v>Generic</c:v>
                </c:pt>
              </c:strCache>
            </c:strRef>
          </c:tx>
          <c:spPr>
            <a:solidFill>
              <a:srgbClr val="E98300">
                <a:lumMod val="70000"/>
                <a:lumOff val="3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Dashboard!$B$71:$C$71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Dashboard!$B$73:$C$73</c:f>
              <c:numCache>
                <c:formatCode>"$"#,##0</c:formatCode>
                <c:ptCount val="2"/>
                <c:pt idx="0">
                  <c:v>491.50619999999998</c:v>
                </c:pt>
                <c:pt idx="1">
                  <c:v>545.27480000000003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46-47B1-89F0-464853CF5237}"/>
            </c:ext>
          </c:extLst>
        </c:ser>
        <c:ser>
          <c:idx val="2"/>
          <c:order val="2"/>
          <c:tx>
            <c:strRef>
              <c:f>Dashboard!$A$74</c:f>
              <c:strCache>
                <c:ptCount val="1"/>
                <c:pt idx="0">
                  <c:v>Brand</c:v>
                </c:pt>
              </c:strCache>
            </c:strRef>
          </c:tx>
          <c:spPr>
            <a:solidFill>
              <a:srgbClr val="E98300">
                <a:lumMod val="10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Dashboard!$B$71:$C$71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Dashboard!$B$74:$C$74</c:f>
              <c:numCache>
                <c:formatCode>"$"#,##0</c:formatCode>
                <c:ptCount val="2"/>
                <c:pt idx="0">
                  <c:v>1653.9466666666667</c:v>
                </c:pt>
                <c:pt idx="1">
                  <c:v>2168.0289333333335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46-47B1-89F0-464853CF5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7510175"/>
        <c:axId val="928175023"/>
      </c:barChart>
      <c:catAx>
        <c:axId val="2057510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28175023"/>
        <c:crosses val="autoZero"/>
        <c:auto val="1"/>
        <c:lblAlgn val="ctr"/>
        <c:lblOffset val="100"/>
        <c:noMultiLvlLbl val="0"/>
      </c:catAx>
      <c:valAx>
        <c:axId val="928175023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2057510175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Rx Claims PMPM - Past 12 Months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Dashboard!$A$94</c:f>
              <c:strCache>
                <c:ptCount val="1"/>
                <c:pt idx="0">
                  <c:v>Specialty</c:v>
                </c:pt>
              </c:strCache>
            </c:strRef>
          </c:tx>
          <c:spPr>
            <a:ln>
              <a:solidFill>
                <a:srgbClr val="E98300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strRef>
              <c:f>Dashboard!$B$93:$M$93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Dashboard!$B$94:$M$94</c:f>
              <c:numCache>
                <c:formatCode>"$"#,##0</c:formatCode>
                <c:ptCount val="12"/>
                <c:pt idx="0">
                  <c:v>37.131018010963196</c:v>
                </c:pt>
                <c:pt idx="1">
                  <c:v>47.783657008613943</c:v>
                </c:pt>
                <c:pt idx="2">
                  <c:v>28.554682850430698</c:v>
                </c:pt>
                <c:pt idx="3">
                  <c:v>63.269992169146434</c:v>
                </c:pt>
                <c:pt idx="4">
                  <c:v>40.427689898198906</c:v>
                </c:pt>
                <c:pt idx="5">
                  <c:v>36.585074393108847</c:v>
                </c:pt>
                <c:pt idx="6">
                  <c:v>41.335606891151137</c:v>
                </c:pt>
                <c:pt idx="7">
                  <c:v>38.617180892717307</c:v>
                </c:pt>
                <c:pt idx="8">
                  <c:v>42.503790133124511</c:v>
                </c:pt>
                <c:pt idx="9">
                  <c:v>33.010281910728267</c:v>
                </c:pt>
                <c:pt idx="10">
                  <c:v>51.421182458888026</c:v>
                </c:pt>
                <c:pt idx="11">
                  <c:v>33.489788566953798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CA-4D05-97B0-96CD91EE28AD}"/>
            </c:ext>
          </c:extLst>
        </c:ser>
        <c:ser>
          <c:idx val="1"/>
          <c:order val="1"/>
          <c:tx>
            <c:strRef>
              <c:f>Dashboard!$A$95</c:f>
              <c:strCache>
                <c:ptCount val="1"/>
                <c:pt idx="0">
                  <c:v>Generic</c:v>
                </c:pt>
              </c:strCache>
            </c:strRef>
          </c:tx>
          <c:spPr>
            <a:ln>
              <a:solidFill>
                <a:srgbClr val="E98300">
                  <a:lumMod val="70000"/>
                  <a:lumOff val="30000"/>
                </a:srgbClr>
              </a:solidFill>
            </a:ln>
          </c:spPr>
          <c:marker>
            <c:symbol val="none"/>
          </c:marker>
          <c:cat>
            <c:strRef>
              <c:f>Dashboard!$B$93:$M$93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Dashboard!$B$95:$M$95</c:f>
              <c:numCache>
                <c:formatCode>"$"#,##0</c:formatCode>
                <c:ptCount val="12"/>
                <c:pt idx="0">
                  <c:v>9.6730305403288952</c:v>
                </c:pt>
                <c:pt idx="1">
                  <c:v>15.619655442443225</c:v>
                </c:pt>
                <c:pt idx="2">
                  <c:v>13.395497259201253</c:v>
                </c:pt>
                <c:pt idx="3">
                  <c:v>10.873132341425215</c:v>
                </c:pt>
                <c:pt idx="4">
                  <c:v>19.315935787000782</c:v>
                </c:pt>
                <c:pt idx="5">
                  <c:v>15.463187157400158</c:v>
                </c:pt>
                <c:pt idx="6">
                  <c:v>18.759044635865308</c:v>
                </c:pt>
                <c:pt idx="7">
                  <c:v>14.154393108848865</c:v>
                </c:pt>
                <c:pt idx="8">
                  <c:v>16.639365700861394</c:v>
                </c:pt>
                <c:pt idx="9">
                  <c:v>19.09553641346907</c:v>
                </c:pt>
                <c:pt idx="10">
                  <c:v>30.400000000000002</c:v>
                </c:pt>
                <c:pt idx="11">
                  <c:v>14.254197337509789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CA-4D05-97B0-96CD91EE28AD}"/>
            </c:ext>
          </c:extLst>
        </c:ser>
        <c:ser>
          <c:idx val="2"/>
          <c:order val="2"/>
          <c:tx>
            <c:strRef>
              <c:f>Dashboard!$A$96</c:f>
              <c:strCache>
                <c:ptCount val="1"/>
                <c:pt idx="0">
                  <c:v>Brand</c:v>
                </c:pt>
              </c:strCache>
            </c:strRef>
          </c:tx>
          <c:spPr>
            <a:ln>
              <a:solidFill>
                <a:srgbClr val="E98300">
                  <a:lumMod val="100000"/>
                </a:srgbClr>
              </a:solidFill>
            </a:ln>
          </c:spPr>
          <c:marker>
            <c:symbol val="none"/>
          </c:marker>
          <c:cat>
            <c:strRef>
              <c:f>Dashboard!$B$93:$M$93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Dashboard!$B$96:$M$96</c:f>
              <c:numCache>
                <c:formatCode>"$"#,##0</c:formatCode>
                <c:ptCount val="12"/>
                <c:pt idx="0">
                  <c:v>55.85698512137823</c:v>
                </c:pt>
                <c:pt idx="1">
                  <c:v>65.279350039154266</c:v>
                </c:pt>
                <c:pt idx="2">
                  <c:v>57.051879404855129</c:v>
                </c:pt>
                <c:pt idx="3">
                  <c:v>85.339342208300707</c:v>
                </c:pt>
                <c:pt idx="4">
                  <c:v>72.195090054815978</c:v>
                </c:pt>
                <c:pt idx="5">
                  <c:v>51.274502740798745</c:v>
                </c:pt>
                <c:pt idx="6">
                  <c:v>74.202576350822241</c:v>
                </c:pt>
                <c:pt idx="7">
                  <c:v>60.129044635865306</c:v>
                </c:pt>
                <c:pt idx="8">
                  <c:v>63.131080657791699</c:v>
                </c:pt>
                <c:pt idx="9">
                  <c:v>62.28411902897416</c:v>
                </c:pt>
                <c:pt idx="10">
                  <c:v>74.641730618637439</c:v>
                </c:pt>
                <c:pt idx="11">
                  <c:v>39.242161315583395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CA-4D05-97B0-96CD91EE2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8630959"/>
        <c:axId val="911596959"/>
      </c:lineChart>
      <c:catAx>
        <c:axId val="90863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1596959"/>
        <c:crosses val="autoZero"/>
        <c:auto val="1"/>
        <c:lblAlgn val="ctr"/>
        <c:lblOffset val="100"/>
        <c:noMultiLvlLbl val="0"/>
      </c:catAx>
      <c:valAx>
        <c:axId val="911596959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908630959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Vision Claims by Type - Complete Years Only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Dashboard!$A$56</c:f>
              <c:strCache>
                <c:ptCount val="1"/>
                <c:pt idx="0">
                  <c:v>Miscellaneous</c:v>
                </c:pt>
              </c:strCache>
            </c:strRef>
          </c:tx>
          <c:spPr>
            <a:solidFill>
              <a:srgbClr val="BCD343">
                <a:lumMod val="40000"/>
                <a:lumOff val="6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Dashboard!$B$55:$C$55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Dashboard!$B$56:$C$56</c:f>
              <c:numCache>
                <c:formatCode>"$"#,##0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7-4D74-A96F-5563496C1005}"/>
            </c:ext>
          </c:extLst>
        </c:ser>
        <c:ser>
          <c:idx val="1"/>
          <c:order val="1"/>
          <c:tx>
            <c:strRef>
              <c:f>Dashboard!$A$57</c:f>
              <c:strCache>
                <c:ptCount val="1"/>
                <c:pt idx="0">
                  <c:v>Lenses</c:v>
                </c:pt>
              </c:strCache>
            </c:strRef>
          </c:tx>
          <c:spPr>
            <a:solidFill>
              <a:srgbClr val="BCD343">
                <a:lumMod val="70000"/>
                <a:lumOff val="3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Dashboard!$B$55:$C$55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Dashboard!$B$57:$C$57</c:f>
              <c:numCache>
                <c:formatCode>"$"#,##0</c:formatCode>
                <c:ptCount val="2"/>
                <c:pt idx="0">
                  <c:v>24059.69</c:v>
                </c:pt>
                <c:pt idx="1">
                  <c:v>27736.5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7-4D74-A96F-5563496C1005}"/>
            </c:ext>
          </c:extLst>
        </c:ser>
        <c:ser>
          <c:idx val="2"/>
          <c:order val="2"/>
          <c:tx>
            <c:strRef>
              <c:f>Dashboard!$A$58</c:f>
              <c:strCache>
                <c:ptCount val="1"/>
                <c:pt idx="0">
                  <c:v>Frames</c:v>
                </c:pt>
              </c:strCache>
            </c:strRef>
          </c:tx>
          <c:spPr>
            <a:solidFill>
              <a:srgbClr val="BCD343">
                <a:lumMod val="10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Dashboard!$B$55:$C$55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Dashboard!$B$58:$C$58</c:f>
              <c:numCache>
                <c:formatCode>"$"#,##0</c:formatCode>
                <c:ptCount val="2"/>
                <c:pt idx="0">
                  <c:v>20793.91</c:v>
                </c:pt>
                <c:pt idx="1">
                  <c:v>25529.229999999996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47-4D74-A96F-5563496C1005}"/>
            </c:ext>
          </c:extLst>
        </c:ser>
        <c:ser>
          <c:idx val="3"/>
          <c:order val="3"/>
          <c:tx>
            <c:strRef>
              <c:f>Dashboard!$A$59</c:f>
              <c:strCache>
                <c:ptCount val="1"/>
                <c:pt idx="0">
                  <c:v>Exam</c:v>
                </c:pt>
              </c:strCache>
            </c:strRef>
          </c:tx>
          <c:spPr>
            <a:solidFill>
              <a:srgbClr val="BCD343">
                <a:lumMod val="7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Dashboard!$B$55:$C$55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Dashboard!$B$59:$C$59</c:f>
              <c:numCache>
                <c:formatCode>"$"#,##0</c:formatCode>
                <c:ptCount val="2"/>
                <c:pt idx="0">
                  <c:v>24709.41</c:v>
                </c:pt>
                <c:pt idx="1">
                  <c:v>29846.99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47-4D74-A96F-5563496C1005}"/>
            </c:ext>
          </c:extLst>
        </c:ser>
        <c:ser>
          <c:idx val="4"/>
          <c:order val="4"/>
          <c:tx>
            <c:strRef>
              <c:f>Dashboard!$A$60</c:f>
              <c:strCache>
                <c:ptCount val="1"/>
                <c:pt idx="0">
                  <c:v>Contact Lenses</c:v>
                </c:pt>
              </c:strCache>
            </c:strRef>
          </c:tx>
          <c:spPr>
            <a:solidFill>
              <a:srgbClr val="BCD343">
                <a:lumMod val="4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Dashboard!$B$55:$C$55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Dashboard!$B$60:$C$60</c:f>
              <c:numCache>
                <c:formatCode>"$"#,##0</c:formatCode>
                <c:ptCount val="2"/>
                <c:pt idx="0">
                  <c:v>10566.679999999998</c:v>
                </c:pt>
                <c:pt idx="1">
                  <c:v>10467.91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47-4D74-A96F-5563496C1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2976175"/>
        <c:axId val="1671932879"/>
      </c:barChart>
      <c:catAx>
        <c:axId val="912976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1932879"/>
        <c:crosses val="autoZero"/>
        <c:auto val="1"/>
        <c:lblAlgn val="ctr"/>
        <c:lblOffset val="100"/>
        <c:noMultiLvlLbl val="0"/>
      </c:catAx>
      <c:valAx>
        <c:axId val="1671932879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912976175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Vision Claims PEPY by Type - Complete Years Only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Dashboard!$A$78</c:f>
              <c:strCache>
                <c:ptCount val="1"/>
                <c:pt idx="0">
                  <c:v>Miscellaneous</c:v>
                </c:pt>
              </c:strCache>
            </c:strRef>
          </c:tx>
          <c:spPr>
            <a:solidFill>
              <a:srgbClr val="BCD343">
                <a:lumMod val="40000"/>
                <a:lumOff val="6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Dashboard!$B$77:$C$77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Dashboard!$B$78:$C$78</c:f>
              <c:numCache>
                <c:formatCode>"$"#,##0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7-46D8-81E2-4CB4C50E8BEA}"/>
            </c:ext>
          </c:extLst>
        </c:ser>
        <c:ser>
          <c:idx val="1"/>
          <c:order val="1"/>
          <c:tx>
            <c:strRef>
              <c:f>Dashboard!$A$79</c:f>
              <c:strCache>
                <c:ptCount val="1"/>
                <c:pt idx="0">
                  <c:v>Lenses</c:v>
                </c:pt>
              </c:strCache>
            </c:strRef>
          </c:tx>
          <c:spPr>
            <a:solidFill>
              <a:srgbClr val="BCD343">
                <a:lumMod val="70000"/>
                <a:lumOff val="3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Dashboard!$B$77:$C$77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Dashboard!$B$79:$C$79</c:f>
              <c:numCache>
                <c:formatCode>"$"#,##0</c:formatCode>
                <c:ptCount val="2"/>
                <c:pt idx="0">
                  <c:v>40.710135363790187</c:v>
                </c:pt>
                <c:pt idx="1">
                  <c:v>46.931472081218274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D7-46D8-81E2-4CB4C50E8BEA}"/>
            </c:ext>
          </c:extLst>
        </c:ser>
        <c:ser>
          <c:idx val="2"/>
          <c:order val="2"/>
          <c:tx>
            <c:strRef>
              <c:f>Dashboard!$A$80</c:f>
              <c:strCache>
                <c:ptCount val="1"/>
                <c:pt idx="0">
                  <c:v>Frames</c:v>
                </c:pt>
              </c:strCache>
            </c:strRef>
          </c:tx>
          <c:spPr>
            <a:solidFill>
              <a:srgbClr val="BCD343">
                <a:lumMod val="10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Dashboard!$B$77:$C$77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Dashboard!$B$80:$C$80</c:f>
              <c:numCache>
                <c:formatCode>"$"#,##0</c:formatCode>
                <c:ptCount val="2"/>
                <c:pt idx="0">
                  <c:v>35.184280879864637</c:v>
                </c:pt>
                <c:pt idx="1">
                  <c:v>43.196666666666658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D7-46D8-81E2-4CB4C50E8BEA}"/>
            </c:ext>
          </c:extLst>
        </c:ser>
        <c:ser>
          <c:idx val="3"/>
          <c:order val="3"/>
          <c:tx>
            <c:strRef>
              <c:f>Dashboard!$A$81</c:f>
              <c:strCache>
                <c:ptCount val="1"/>
                <c:pt idx="0">
                  <c:v>Exam</c:v>
                </c:pt>
              </c:strCache>
            </c:strRef>
          </c:tx>
          <c:spPr>
            <a:solidFill>
              <a:srgbClr val="BCD343">
                <a:lumMod val="7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Dashboard!$B$77:$C$77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Dashboard!$B$81:$C$81</c:f>
              <c:numCache>
                <c:formatCode>"$"#,##0</c:formatCode>
                <c:ptCount val="2"/>
                <c:pt idx="0">
                  <c:v>41.809492385786804</c:v>
                </c:pt>
                <c:pt idx="1">
                  <c:v>50.502521150592216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D7-46D8-81E2-4CB4C50E8BEA}"/>
            </c:ext>
          </c:extLst>
        </c:ser>
        <c:ser>
          <c:idx val="4"/>
          <c:order val="4"/>
          <c:tx>
            <c:strRef>
              <c:f>Dashboard!$A$82</c:f>
              <c:strCache>
                <c:ptCount val="1"/>
                <c:pt idx="0">
                  <c:v>Contact Lenses</c:v>
                </c:pt>
              </c:strCache>
            </c:strRef>
          </c:tx>
          <c:spPr>
            <a:solidFill>
              <a:srgbClr val="BCD343">
                <a:lumMod val="40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2323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Dashboard!$B$77:$C$77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Dashboard!$B$82:$C$82</c:f>
              <c:numCache>
                <c:formatCode>"$"#,##0</c:formatCode>
                <c:ptCount val="2"/>
                <c:pt idx="0">
                  <c:v>17.879323181049067</c:v>
                </c:pt>
                <c:pt idx="1">
                  <c:v>17.712199661590525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D7-46D8-81E2-4CB4C50E8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8634559"/>
        <c:axId val="911590719"/>
      </c:barChart>
      <c:catAx>
        <c:axId val="90863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1590719"/>
        <c:crosses val="autoZero"/>
        <c:auto val="1"/>
        <c:lblAlgn val="ctr"/>
        <c:lblOffset val="100"/>
        <c:noMultiLvlLbl val="0"/>
      </c:catAx>
      <c:valAx>
        <c:axId val="911590719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908634559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Vision Claims PMPM - Past 12 Months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Dashboard!$A$100</c:f>
              <c:strCache>
                <c:ptCount val="1"/>
                <c:pt idx="0">
                  <c:v>Miscellaneous</c:v>
                </c:pt>
              </c:strCache>
            </c:strRef>
          </c:tx>
          <c:spPr>
            <a:ln>
              <a:solidFill>
                <a:srgbClr val="BCD343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strRef>
              <c:f>Dashboard!$B$99:$M$99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Dashboard!$B$100:$M$100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EB-4F1F-94BC-F9B3A2A948A5}"/>
            </c:ext>
          </c:extLst>
        </c:ser>
        <c:ser>
          <c:idx val="1"/>
          <c:order val="1"/>
          <c:tx>
            <c:strRef>
              <c:f>Dashboard!$A$101</c:f>
              <c:strCache>
                <c:ptCount val="1"/>
                <c:pt idx="0">
                  <c:v>Lenses</c:v>
                </c:pt>
              </c:strCache>
            </c:strRef>
          </c:tx>
          <c:spPr>
            <a:ln>
              <a:solidFill>
                <a:srgbClr val="BCD343">
                  <a:lumMod val="70000"/>
                  <a:lumOff val="30000"/>
                </a:srgbClr>
              </a:solidFill>
            </a:ln>
          </c:spPr>
          <c:marker>
            <c:symbol val="none"/>
          </c:marker>
          <c:cat>
            <c:strRef>
              <c:f>Dashboard!$B$99:$M$99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Dashboard!$B$101:$M$101</c:f>
              <c:numCache>
                <c:formatCode>"$"#,##0</c:formatCode>
                <c:ptCount val="12"/>
                <c:pt idx="0">
                  <c:v>1.0096096291476904</c:v>
                </c:pt>
                <c:pt idx="1">
                  <c:v>1.434964216005205</c:v>
                </c:pt>
                <c:pt idx="2">
                  <c:v>0.65673389720234221</c:v>
                </c:pt>
                <c:pt idx="3">
                  <c:v>0.7998568640208199</c:v>
                </c:pt>
                <c:pt idx="4">
                  <c:v>1.3006245933636955</c:v>
                </c:pt>
                <c:pt idx="5">
                  <c:v>3.7272674040338325</c:v>
                </c:pt>
                <c:pt idx="6">
                  <c:v>2.8426219908913466</c:v>
                </c:pt>
                <c:pt idx="7">
                  <c:v>0.58028627195836047</c:v>
                </c:pt>
                <c:pt idx="8">
                  <c:v>0.98568640208197789</c:v>
                </c:pt>
                <c:pt idx="9">
                  <c:v>1.5793363695510736</c:v>
                </c:pt>
                <c:pt idx="10">
                  <c:v>1.79167208848406</c:v>
                </c:pt>
                <c:pt idx="11">
                  <c:v>0.87281717631750166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EB-4F1F-94BC-F9B3A2A948A5}"/>
            </c:ext>
          </c:extLst>
        </c:ser>
        <c:ser>
          <c:idx val="2"/>
          <c:order val="2"/>
          <c:tx>
            <c:strRef>
              <c:f>Dashboard!$A$102</c:f>
              <c:strCache>
                <c:ptCount val="1"/>
                <c:pt idx="0">
                  <c:v>Frames</c:v>
                </c:pt>
              </c:strCache>
            </c:strRef>
          </c:tx>
          <c:spPr>
            <a:ln>
              <a:solidFill>
                <a:srgbClr val="BCD343">
                  <a:lumMod val="100000"/>
                </a:srgbClr>
              </a:solidFill>
            </a:ln>
          </c:spPr>
          <c:marker>
            <c:symbol val="none"/>
          </c:marker>
          <c:cat>
            <c:strRef>
              <c:f>Dashboard!$B$99:$M$99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Dashboard!$B$102:$M$102</c:f>
              <c:numCache>
                <c:formatCode>"$"#,##0</c:formatCode>
                <c:ptCount val="12"/>
                <c:pt idx="0">
                  <c:v>0.86675341574495779</c:v>
                </c:pt>
                <c:pt idx="1">
                  <c:v>1.3254651919323357</c:v>
                </c:pt>
                <c:pt idx="2">
                  <c:v>0.56351333767078726</c:v>
                </c:pt>
                <c:pt idx="3">
                  <c:v>0.95864671437865978</c:v>
                </c:pt>
                <c:pt idx="4">
                  <c:v>0.9885491216655824</c:v>
                </c:pt>
                <c:pt idx="5">
                  <c:v>3.3635003253090434</c:v>
                </c:pt>
                <c:pt idx="6">
                  <c:v>2.794990240728692</c:v>
                </c:pt>
                <c:pt idx="7">
                  <c:v>0.62035133376707874</c:v>
                </c:pt>
                <c:pt idx="8">
                  <c:v>0.92884189980481469</c:v>
                </c:pt>
                <c:pt idx="9">
                  <c:v>1.4387573194534808</c:v>
                </c:pt>
                <c:pt idx="10">
                  <c:v>1.4257449577098242</c:v>
                </c:pt>
                <c:pt idx="11">
                  <c:v>0.67945348080676637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EB-4F1F-94BC-F9B3A2A948A5}"/>
            </c:ext>
          </c:extLst>
        </c:ser>
        <c:ser>
          <c:idx val="3"/>
          <c:order val="3"/>
          <c:tx>
            <c:strRef>
              <c:f>Dashboard!$A$103</c:f>
              <c:strCache>
                <c:ptCount val="1"/>
                <c:pt idx="0">
                  <c:v>Exam</c:v>
                </c:pt>
              </c:strCache>
            </c:strRef>
          </c:tx>
          <c:spPr>
            <a:ln>
              <a:solidFill>
                <a:srgbClr val="BCD343">
                  <a:lumMod val="70000"/>
                </a:srgbClr>
              </a:solidFill>
            </a:ln>
          </c:spPr>
          <c:marker>
            <c:symbol val="none"/>
          </c:marker>
          <c:cat>
            <c:strRef>
              <c:f>Dashboard!$B$99:$M$99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Dashboard!$B$103:$M$103</c:f>
              <c:numCache>
                <c:formatCode>"$"#,##0</c:formatCode>
                <c:ptCount val="12"/>
                <c:pt idx="0">
                  <c:v>0.93692257644762522</c:v>
                </c:pt>
                <c:pt idx="1">
                  <c:v>1.381587508132726</c:v>
                </c:pt>
                <c:pt idx="2">
                  <c:v>0.99277813923227076</c:v>
                </c:pt>
                <c:pt idx="3">
                  <c:v>1.3819388418998049</c:v>
                </c:pt>
                <c:pt idx="4">
                  <c:v>1.4960637605725438</c:v>
                </c:pt>
                <c:pt idx="5">
                  <c:v>3.831782693558881</c:v>
                </c:pt>
                <c:pt idx="6">
                  <c:v>3.1756668835393622</c:v>
                </c:pt>
                <c:pt idx="7">
                  <c:v>0.76398828887443071</c:v>
                </c:pt>
                <c:pt idx="8">
                  <c:v>0.9630774235523748</c:v>
                </c:pt>
                <c:pt idx="9">
                  <c:v>1.4856864020819778</c:v>
                </c:pt>
                <c:pt idx="10">
                  <c:v>1.5119063109954458</c:v>
                </c:pt>
                <c:pt idx="11">
                  <c:v>0.66307742355237476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EB-4F1F-94BC-F9B3A2A948A5}"/>
            </c:ext>
          </c:extLst>
        </c:ser>
        <c:ser>
          <c:idx val="4"/>
          <c:order val="4"/>
          <c:tx>
            <c:strRef>
              <c:f>Dashboard!$A$104</c:f>
              <c:strCache>
                <c:ptCount val="1"/>
                <c:pt idx="0">
                  <c:v>Contact Lenses</c:v>
                </c:pt>
              </c:strCache>
            </c:strRef>
          </c:tx>
          <c:spPr>
            <a:ln>
              <a:solidFill>
                <a:srgbClr val="BCD343">
                  <a:lumMod val="40000"/>
                </a:srgbClr>
              </a:solidFill>
            </a:ln>
          </c:spPr>
          <c:marker>
            <c:symbol val="none"/>
          </c:marker>
          <c:cat>
            <c:strRef>
              <c:f>Dashboard!$B$99:$M$99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Dashboard!$B$104:$M$104</c:f>
              <c:numCache>
                <c:formatCode>"$"#,##0</c:formatCode>
                <c:ptCount val="12"/>
                <c:pt idx="0">
                  <c:v>0.42026675341574499</c:v>
                </c:pt>
                <c:pt idx="1">
                  <c:v>0.33409238776837996</c:v>
                </c:pt>
                <c:pt idx="2">
                  <c:v>0.35139882888744306</c:v>
                </c:pt>
                <c:pt idx="3">
                  <c:v>0.33309043591411841</c:v>
                </c:pt>
                <c:pt idx="4">
                  <c:v>0.85188679245283017</c:v>
                </c:pt>
                <c:pt idx="5">
                  <c:v>1.4678594664931683</c:v>
                </c:pt>
                <c:pt idx="6">
                  <c:v>0.7999349381912817</c:v>
                </c:pt>
                <c:pt idx="7">
                  <c:v>0.47527651268705268</c:v>
                </c:pt>
                <c:pt idx="8">
                  <c:v>0.72299934938191279</c:v>
                </c:pt>
                <c:pt idx="9">
                  <c:v>0.33344176968119715</c:v>
                </c:pt>
                <c:pt idx="10">
                  <c:v>0.36317501626545223</c:v>
                </c:pt>
                <c:pt idx="11">
                  <c:v>0.26561483409238779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EB-4F1F-94BC-F9B3A2A94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2978175"/>
        <c:axId val="998223455"/>
      </c:lineChart>
      <c:catAx>
        <c:axId val="912978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8223455"/>
        <c:crosses val="autoZero"/>
        <c:auto val="1"/>
        <c:lblAlgn val="ctr"/>
        <c:lblOffset val="100"/>
        <c:noMultiLvlLbl val="0"/>
      </c:catAx>
      <c:valAx>
        <c:axId val="998223455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912978175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Paid in Vision Claims Unit Cost - Past 12 Months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Dashboard!$A$28</c:f>
              <c:strCache>
                <c:ptCount val="1"/>
                <c:pt idx="0">
                  <c:v>Miscellaneous</c:v>
                </c:pt>
              </c:strCache>
            </c:strRef>
          </c:tx>
          <c:spPr>
            <a:ln>
              <a:solidFill>
                <a:srgbClr val="BCD343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strRef>
              <c:f>Dashboard!$B$27:$M$27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Dashboard!$B$28:$M$28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5E-4F7E-80CE-83B88FE9DE96}"/>
            </c:ext>
          </c:extLst>
        </c:ser>
        <c:ser>
          <c:idx val="1"/>
          <c:order val="1"/>
          <c:tx>
            <c:strRef>
              <c:f>Dashboard!$A$29</c:f>
              <c:strCache>
                <c:ptCount val="1"/>
                <c:pt idx="0">
                  <c:v>Lenses</c:v>
                </c:pt>
              </c:strCache>
            </c:strRef>
          </c:tx>
          <c:spPr>
            <a:ln>
              <a:solidFill>
                <a:srgbClr val="BCD343">
                  <a:lumMod val="70000"/>
                  <a:lumOff val="30000"/>
                </a:srgbClr>
              </a:solidFill>
            </a:ln>
          </c:spPr>
          <c:marker>
            <c:symbol val="none"/>
          </c:marker>
          <c:cat>
            <c:strRef>
              <c:f>Dashboard!$B$27:$M$27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Dashboard!$B$29:$M$29</c:f>
              <c:numCache>
                <c:formatCode>"$"#,##0</c:formatCode>
                <c:ptCount val="12"/>
                <c:pt idx="0">
                  <c:v>67.468260869565214</c:v>
                </c:pt>
                <c:pt idx="1">
                  <c:v>73.518000000000001</c:v>
                </c:pt>
                <c:pt idx="2">
                  <c:v>67.293333333333337</c:v>
                </c:pt>
                <c:pt idx="3">
                  <c:v>68.298888888888897</c:v>
                </c:pt>
                <c:pt idx="4">
                  <c:v>79.962400000000002</c:v>
                </c:pt>
                <c:pt idx="5">
                  <c:v>90.933492063492068</c:v>
                </c:pt>
                <c:pt idx="6">
                  <c:v>82.436037735849055</c:v>
                </c:pt>
                <c:pt idx="7">
                  <c:v>68.607692307692304</c:v>
                </c:pt>
                <c:pt idx="8">
                  <c:v>84.166666666666671</c:v>
                </c:pt>
                <c:pt idx="9">
                  <c:v>73.558787878787882</c:v>
                </c:pt>
                <c:pt idx="10">
                  <c:v>86.056250000000006</c:v>
                </c:pt>
                <c:pt idx="11">
                  <c:v>89.434666666666672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5E-4F7E-80CE-83B88FE9DE96}"/>
            </c:ext>
          </c:extLst>
        </c:ser>
        <c:ser>
          <c:idx val="2"/>
          <c:order val="2"/>
          <c:tx>
            <c:strRef>
              <c:f>Dashboard!$A$30</c:f>
              <c:strCache>
                <c:ptCount val="1"/>
                <c:pt idx="0">
                  <c:v>Frames</c:v>
                </c:pt>
              </c:strCache>
            </c:strRef>
          </c:tx>
          <c:spPr>
            <a:ln>
              <a:solidFill>
                <a:srgbClr val="BCD343">
                  <a:lumMod val="100000"/>
                </a:srgbClr>
              </a:solidFill>
            </a:ln>
          </c:spPr>
          <c:marker>
            <c:symbol val="none"/>
          </c:marker>
          <c:cat>
            <c:strRef>
              <c:f>Dashboard!$B$27:$M$27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Dashboard!$B$30:$M$30</c:f>
              <c:numCache>
                <c:formatCode>"$"#,##0</c:formatCode>
                <c:ptCount val="12"/>
                <c:pt idx="0">
                  <c:v>70.115789473684217</c:v>
                </c:pt>
                <c:pt idx="1">
                  <c:v>72.758571428571429</c:v>
                </c:pt>
                <c:pt idx="2">
                  <c:v>72.176666666666662</c:v>
                </c:pt>
                <c:pt idx="3">
                  <c:v>86.672941176470587</c:v>
                </c:pt>
                <c:pt idx="4">
                  <c:v>75.97</c:v>
                </c:pt>
                <c:pt idx="5">
                  <c:v>83.382258064516122</c:v>
                </c:pt>
                <c:pt idx="6">
                  <c:v>82.613461538461536</c:v>
                </c:pt>
                <c:pt idx="7">
                  <c:v>79.456666666666663</c:v>
                </c:pt>
                <c:pt idx="8">
                  <c:v>83.978235294117653</c:v>
                </c:pt>
                <c:pt idx="9">
                  <c:v>71.334516129032252</c:v>
                </c:pt>
                <c:pt idx="10">
                  <c:v>81.16185185185185</c:v>
                </c:pt>
                <c:pt idx="11">
                  <c:v>80.332307692307694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5E-4F7E-80CE-83B88FE9DE96}"/>
            </c:ext>
          </c:extLst>
        </c:ser>
        <c:ser>
          <c:idx val="3"/>
          <c:order val="3"/>
          <c:tx>
            <c:strRef>
              <c:f>Dashboard!$A$31</c:f>
              <c:strCache>
                <c:ptCount val="1"/>
                <c:pt idx="0">
                  <c:v>Exam</c:v>
                </c:pt>
              </c:strCache>
            </c:strRef>
          </c:tx>
          <c:spPr>
            <a:ln>
              <a:solidFill>
                <a:srgbClr val="BCD343">
                  <a:lumMod val="70000"/>
                </a:srgbClr>
              </a:solidFill>
            </a:ln>
          </c:spPr>
          <c:marker>
            <c:symbol val="none"/>
          </c:marker>
          <c:cat>
            <c:strRef>
              <c:f>Dashboard!$B$27:$M$27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Dashboard!$B$31:$M$31</c:f>
              <c:numCache>
                <c:formatCode>"$"#,##0</c:formatCode>
                <c:ptCount val="12"/>
                <c:pt idx="0">
                  <c:v>51.43035714285714</c:v>
                </c:pt>
                <c:pt idx="1">
                  <c:v>50.55952380952381</c:v>
                </c:pt>
                <c:pt idx="2">
                  <c:v>58.688461538461539</c:v>
                </c:pt>
                <c:pt idx="3">
                  <c:v>64.36484848484848</c:v>
                </c:pt>
                <c:pt idx="4">
                  <c:v>58.960256410256406</c:v>
                </c:pt>
                <c:pt idx="5">
                  <c:v>63.32741935483871</c:v>
                </c:pt>
                <c:pt idx="6">
                  <c:v>62.57692307692308</c:v>
                </c:pt>
                <c:pt idx="7">
                  <c:v>61.80263157894737</c:v>
                </c:pt>
                <c:pt idx="8">
                  <c:v>61.677083333333336</c:v>
                </c:pt>
                <c:pt idx="9">
                  <c:v>55.695121951219512</c:v>
                </c:pt>
                <c:pt idx="10">
                  <c:v>59.58461538461539</c:v>
                </c:pt>
                <c:pt idx="11">
                  <c:v>56.61944444444444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5E-4F7E-80CE-83B88FE9DE96}"/>
            </c:ext>
          </c:extLst>
        </c:ser>
        <c:ser>
          <c:idx val="4"/>
          <c:order val="4"/>
          <c:tx>
            <c:strRef>
              <c:f>Dashboard!$A$32</c:f>
              <c:strCache>
                <c:ptCount val="1"/>
                <c:pt idx="0">
                  <c:v>Contact Lenses</c:v>
                </c:pt>
              </c:strCache>
            </c:strRef>
          </c:tx>
          <c:spPr>
            <a:ln>
              <a:solidFill>
                <a:srgbClr val="BCD343">
                  <a:lumMod val="40000"/>
                </a:srgbClr>
              </a:solidFill>
            </a:ln>
          </c:spPr>
          <c:marker>
            <c:symbol val="none"/>
          </c:marker>
          <c:cat>
            <c:strRef>
              <c:f>Dashboard!$B$27:$M$27</c:f>
              <c:strCache>
                <c:ptCount val="12"/>
                <c:pt idx="0">
                  <c:v>2/2018</c:v>
                </c:pt>
                <c:pt idx="1">
                  <c:v>3/2018</c:v>
                </c:pt>
                <c:pt idx="2">
                  <c:v>4/2018</c:v>
                </c:pt>
                <c:pt idx="3">
                  <c:v>5/2018</c:v>
                </c:pt>
                <c:pt idx="4">
                  <c:v>6/2018</c:v>
                </c:pt>
                <c:pt idx="5">
                  <c:v>7/2018</c:v>
                </c:pt>
                <c:pt idx="6">
                  <c:v>8/2018</c:v>
                </c:pt>
                <c:pt idx="7">
                  <c:v>9/2018</c:v>
                </c:pt>
                <c:pt idx="8">
                  <c:v>10/2018</c:v>
                </c:pt>
                <c:pt idx="9">
                  <c:v>11/2018</c:v>
                </c:pt>
                <c:pt idx="10">
                  <c:v>12/2018</c:v>
                </c:pt>
                <c:pt idx="11">
                  <c:v>1/2019</c:v>
                </c:pt>
              </c:strCache>
            </c:strRef>
          </c:cat>
          <c:val>
            <c:numRef>
              <c:f>Dashboard!$B$32:$M$32</c:f>
              <c:numCache>
                <c:formatCode>"$"#,##0</c:formatCode>
                <c:ptCount val="12"/>
                <c:pt idx="0">
                  <c:v>92.278571428571439</c:v>
                </c:pt>
                <c:pt idx="1">
                  <c:v>102.7</c:v>
                </c:pt>
                <c:pt idx="2">
                  <c:v>90.016666666666666</c:v>
                </c:pt>
                <c:pt idx="3">
                  <c:v>51.195999999999998</c:v>
                </c:pt>
                <c:pt idx="4">
                  <c:v>93.524999999999991</c:v>
                </c:pt>
                <c:pt idx="5">
                  <c:v>83.55925925925925</c:v>
                </c:pt>
                <c:pt idx="6">
                  <c:v>68.305555555555557</c:v>
                </c:pt>
                <c:pt idx="7">
                  <c:v>81.166666666666671</c:v>
                </c:pt>
                <c:pt idx="8">
                  <c:v>92.604166666666671</c:v>
                </c:pt>
                <c:pt idx="9">
                  <c:v>73.214285714285708</c:v>
                </c:pt>
                <c:pt idx="10">
                  <c:v>79.742857142857147</c:v>
                </c:pt>
                <c:pt idx="11">
                  <c:v>102.0625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65E-4F7E-80CE-83B88FE9D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8397535"/>
        <c:axId val="920124463"/>
      </c:lineChart>
      <c:catAx>
        <c:axId val="9983975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20124463"/>
        <c:crosses val="autoZero"/>
        <c:auto val="1"/>
        <c:lblAlgn val="ctr"/>
        <c:lblOffset val="100"/>
        <c:noMultiLvlLbl val="0"/>
      </c:catAx>
      <c:valAx>
        <c:axId val="920124463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998397535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solidFill>
                <a:srgbClr val="323232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2105025</xdr:colOff>
          <xdr:row>9</xdr:row>
          <xdr:rowOff>9525</xdr:rowOff>
        </xdr:from>
        <xdr:to>
          <xdr:col>2</xdr:col>
          <xdr:colOff>1047750</xdr:colOff>
          <xdr:row>11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Automate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1057275</xdr:colOff>
          <xdr:row>8</xdr:row>
          <xdr:rowOff>171450</xdr:rowOff>
        </xdr:from>
        <xdr:to>
          <xdr:col>5</xdr:col>
          <xdr:colOff>828675</xdr:colOff>
          <xdr:row>11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Remake Graphs (only use if report is already generated)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0</xdr:colOff>
      <xdr:row>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7</xdr:col>
      <xdr:colOff>0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15</xdr:col>
      <xdr:colOff>0</xdr:colOff>
      <xdr:row>31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0</xdr:colOff>
      <xdr:row>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7</xdr:col>
      <xdr:colOff>0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15</xdr:col>
      <xdr:colOff>0</xdr:colOff>
      <xdr:row>31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0</xdr:colOff>
      <xdr:row>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7</xdr:col>
      <xdr:colOff>0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0</xdr:colOff>
      <xdr:row>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7</xdr:col>
      <xdr:colOff>0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15</xdr:col>
      <xdr:colOff>0</xdr:colOff>
      <xdr:row>31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3B810-5652-4EAB-BE4F-160CE656F89D}">
  <sheetPr codeName="Sheet7"/>
  <dimension ref="A1:U47"/>
  <sheetViews>
    <sheetView workbookViewId="0">
      <selection activeCell="F5" sqref="F5"/>
    </sheetView>
  </sheetViews>
  <sheetFormatPr defaultRowHeight="15" x14ac:dyDescent="0.25"/>
  <cols>
    <col min="1" max="1" width="14.85546875" style="21" bestFit="1" customWidth="1"/>
    <col min="2" max="2" width="14.28515625" style="21" bestFit="1" customWidth="1"/>
    <col min="3" max="3" width="11.140625" style="21" bestFit="1" customWidth="1"/>
    <col min="4" max="4" width="16.140625" style="21" bestFit="1" customWidth="1"/>
    <col min="5" max="5" width="16.5703125" style="21" bestFit="1" customWidth="1"/>
    <col min="6" max="6" width="14.140625" style="21" bestFit="1" customWidth="1"/>
    <col min="7" max="7" width="13.7109375" style="21" bestFit="1" customWidth="1"/>
    <col min="8" max="8" width="13.7109375" style="29" customWidth="1"/>
    <col min="9" max="9" width="15" style="21" bestFit="1" customWidth="1"/>
    <col min="10" max="10" width="12.5703125" style="21" bestFit="1" customWidth="1"/>
    <col min="11" max="11" width="16.140625" style="21" bestFit="1" customWidth="1"/>
    <col min="12" max="12" width="16.5703125" style="21" bestFit="1" customWidth="1"/>
    <col min="13" max="13" width="14.140625" style="21" bestFit="1" customWidth="1"/>
    <col min="14" max="14" width="13.7109375" style="21" bestFit="1" customWidth="1"/>
    <col min="15" max="15" width="13.7109375" style="29" customWidth="1"/>
    <col min="16" max="16" width="14.42578125" style="21" bestFit="1" customWidth="1"/>
    <col min="17" max="17" width="10" style="21" bestFit="1" customWidth="1"/>
    <col min="18" max="18" width="16.140625" style="21" bestFit="1" customWidth="1"/>
    <col min="19" max="19" width="16.5703125" style="21" bestFit="1" customWidth="1"/>
    <col min="20" max="20" width="14.140625" style="21" bestFit="1" customWidth="1"/>
    <col min="21" max="21" width="12" style="21" bestFit="1" customWidth="1"/>
    <col min="22" max="16384" width="9.140625" style="21"/>
  </cols>
  <sheetData>
    <row r="1" spans="1:21" x14ac:dyDescent="0.25">
      <c r="A1" s="36" t="s">
        <v>40</v>
      </c>
      <c r="B1" s="36" t="s">
        <v>38</v>
      </c>
      <c r="C1" s="36"/>
      <c r="D1" s="36"/>
      <c r="E1" s="36"/>
      <c r="F1" s="36"/>
      <c r="G1" s="37"/>
      <c r="H1" s="47"/>
      <c r="I1" s="36" t="s">
        <v>41</v>
      </c>
      <c r="J1" s="36" t="s">
        <v>38</v>
      </c>
      <c r="K1" s="36"/>
      <c r="L1" s="36"/>
      <c r="M1" s="36"/>
      <c r="N1" s="36"/>
      <c r="O1" s="49"/>
      <c r="P1" s="36" t="s">
        <v>41</v>
      </c>
      <c r="Q1" s="36" t="s">
        <v>38</v>
      </c>
      <c r="R1" s="22"/>
      <c r="S1" s="22"/>
      <c r="T1" s="22"/>
      <c r="U1" s="22"/>
    </row>
    <row r="2" spans="1:21" ht="18" customHeight="1" x14ac:dyDescent="0.25">
      <c r="A2" s="23" t="s">
        <v>0</v>
      </c>
      <c r="B2" s="23" t="s">
        <v>21</v>
      </c>
      <c r="C2" s="23" t="s">
        <v>22</v>
      </c>
      <c r="D2" s="23" t="s">
        <v>23</v>
      </c>
      <c r="E2" s="23" t="s">
        <v>24</v>
      </c>
      <c r="F2" s="38" t="s">
        <v>25</v>
      </c>
      <c r="G2" s="25" t="s">
        <v>13</v>
      </c>
      <c r="H2" s="47"/>
      <c r="I2" s="44" t="s">
        <v>21</v>
      </c>
      <c r="J2" s="23" t="s">
        <v>22</v>
      </c>
      <c r="K2" s="23" t="s">
        <v>23</v>
      </c>
      <c r="L2" s="23" t="s">
        <v>24</v>
      </c>
      <c r="M2" s="38" t="s">
        <v>25</v>
      </c>
      <c r="N2" s="25" t="s">
        <v>13</v>
      </c>
      <c r="O2" s="47"/>
      <c r="P2" s="44" t="s">
        <v>21</v>
      </c>
      <c r="Q2" s="23" t="s">
        <v>22</v>
      </c>
      <c r="R2" s="23" t="s">
        <v>23</v>
      </c>
      <c r="S2" s="23" t="s">
        <v>24</v>
      </c>
      <c r="T2" s="38" t="s">
        <v>25</v>
      </c>
      <c r="U2" s="24" t="s">
        <v>13</v>
      </c>
    </row>
    <row r="3" spans="1:21" x14ac:dyDescent="0.25">
      <c r="A3" s="26" t="s">
        <v>1</v>
      </c>
      <c r="B3" s="20">
        <v>0</v>
      </c>
      <c r="C3" s="20">
        <v>58</v>
      </c>
      <c r="D3" s="20">
        <v>71.599999999999994</v>
      </c>
      <c r="E3" s="39">
        <v>145</v>
      </c>
      <c r="F3" s="39">
        <v>0</v>
      </c>
      <c r="G3" s="43">
        <f>SUM(B3:F3)</f>
        <v>274.60000000000002</v>
      </c>
      <c r="H3" s="48"/>
      <c r="I3" s="39">
        <v>49</v>
      </c>
      <c r="J3" s="39">
        <v>560</v>
      </c>
      <c r="K3" s="39">
        <v>493.2</v>
      </c>
      <c r="L3" s="39">
        <v>584</v>
      </c>
      <c r="M3" s="39">
        <v>0</v>
      </c>
      <c r="N3" s="43">
        <f>SUM(I3:M3)</f>
        <v>1686.2</v>
      </c>
      <c r="O3" s="48"/>
      <c r="P3" s="39">
        <v>0</v>
      </c>
      <c r="Q3" s="39">
        <v>292</v>
      </c>
      <c r="R3" s="39">
        <v>273.52</v>
      </c>
      <c r="S3" s="39">
        <v>367.27</v>
      </c>
      <c r="T3" s="39">
        <v>0</v>
      </c>
      <c r="U3" s="32">
        <f>SUM(P3:T3)</f>
        <v>932.79</v>
      </c>
    </row>
    <row r="4" spans="1:21" x14ac:dyDescent="0.25">
      <c r="A4" s="29" t="s">
        <v>2</v>
      </c>
      <c r="B4" s="20">
        <v>115</v>
      </c>
      <c r="C4" s="20">
        <v>380</v>
      </c>
      <c r="D4" s="20">
        <v>330.8</v>
      </c>
      <c r="E4" s="39">
        <v>571</v>
      </c>
      <c r="F4" s="39">
        <v>0</v>
      </c>
      <c r="G4" s="43">
        <f t="shared" ref="G4:G14" si="0">SUM(B4:F4)</f>
        <v>1396.8</v>
      </c>
      <c r="H4" s="48"/>
      <c r="I4" s="39">
        <v>0</v>
      </c>
      <c r="J4" s="39">
        <v>248</v>
      </c>
      <c r="K4" s="39">
        <v>399</v>
      </c>
      <c r="L4" s="39">
        <v>470.5</v>
      </c>
      <c r="M4" s="39">
        <v>0</v>
      </c>
      <c r="N4" s="43">
        <f t="shared" ref="N4:N14" si="1">SUM(I4:M4)</f>
        <v>1117.5</v>
      </c>
      <c r="O4" s="48"/>
      <c r="P4" s="34"/>
      <c r="Q4" s="34"/>
      <c r="R4" s="34"/>
      <c r="S4" s="34"/>
      <c r="T4" s="35"/>
      <c r="U4" s="23"/>
    </row>
    <row r="5" spans="1:21" x14ac:dyDescent="0.25">
      <c r="A5" s="29" t="s">
        <v>3</v>
      </c>
      <c r="B5" s="20">
        <v>77.17</v>
      </c>
      <c r="C5" s="20">
        <v>327</v>
      </c>
      <c r="D5" s="20">
        <v>395.4</v>
      </c>
      <c r="E5" s="39">
        <v>742.5</v>
      </c>
      <c r="F5" s="39">
        <v>0</v>
      </c>
      <c r="G5" s="43">
        <f t="shared" si="0"/>
        <v>1542.07</v>
      </c>
      <c r="H5" s="48"/>
      <c r="I5" s="39">
        <v>0</v>
      </c>
      <c r="J5" s="39">
        <v>360</v>
      </c>
      <c r="K5" s="39">
        <v>562.6</v>
      </c>
      <c r="L5" s="39">
        <v>703</v>
      </c>
      <c r="M5" s="39">
        <v>0</v>
      </c>
      <c r="N5" s="43">
        <f t="shared" si="1"/>
        <v>1625.6</v>
      </c>
      <c r="O5" s="48"/>
      <c r="P5" s="34"/>
      <c r="Q5" s="34"/>
      <c r="R5" s="34"/>
      <c r="S5" s="34"/>
      <c r="T5" s="35"/>
      <c r="U5" s="23"/>
    </row>
    <row r="6" spans="1:21" x14ac:dyDescent="0.25">
      <c r="A6" s="29" t="s">
        <v>4</v>
      </c>
      <c r="B6" s="39">
        <v>0</v>
      </c>
      <c r="C6" s="39">
        <v>370.4</v>
      </c>
      <c r="D6" s="39">
        <v>537</v>
      </c>
      <c r="E6" s="39">
        <v>711</v>
      </c>
      <c r="F6" s="39">
        <v>0</v>
      </c>
      <c r="G6" s="43">
        <f t="shared" si="0"/>
        <v>1618.4</v>
      </c>
      <c r="H6" s="48"/>
      <c r="I6" s="39">
        <v>115</v>
      </c>
      <c r="J6" s="39">
        <v>452</v>
      </c>
      <c r="K6" s="39">
        <v>135.97999999999999</v>
      </c>
      <c r="L6" s="39">
        <v>310.39999999999998</v>
      </c>
      <c r="M6" s="39">
        <v>0</v>
      </c>
      <c r="N6" s="43">
        <f t="shared" si="1"/>
        <v>1013.38</v>
      </c>
      <c r="O6" s="48"/>
      <c r="P6" s="34"/>
      <c r="Q6" s="34"/>
      <c r="R6" s="34"/>
      <c r="S6" s="34"/>
      <c r="T6" s="35"/>
      <c r="U6" s="23"/>
    </row>
    <row r="7" spans="1:21" x14ac:dyDescent="0.25">
      <c r="A7" s="29" t="s">
        <v>5</v>
      </c>
      <c r="B7" s="39">
        <v>26</v>
      </c>
      <c r="C7" s="39">
        <v>275</v>
      </c>
      <c r="D7" s="39">
        <v>198.6</v>
      </c>
      <c r="E7" s="39">
        <v>251</v>
      </c>
      <c r="F7" s="39">
        <v>0</v>
      </c>
      <c r="G7" s="43">
        <f t="shared" si="0"/>
        <v>750.6</v>
      </c>
      <c r="H7" s="48"/>
      <c r="I7" s="39">
        <v>16</v>
      </c>
      <c r="J7" s="39">
        <v>438</v>
      </c>
      <c r="K7" s="39">
        <v>182</v>
      </c>
      <c r="L7" s="39">
        <v>247</v>
      </c>
      <c r="M7" s="39">
        <v>0</v>
      </c>
      <c r="N7" s="43">
        <f t="shared" si="1"/>
        <v>883</v>
      </c>
      <c r="O7" s="48"/>
      <c r="P7" s="34"/>
      <c r="Q7" s="34"/>
      <c r="R7" s="34"/>
      <c r="S7" s="34"/>
      <c r="T7" s="35"/>
      <c r="U7" s="23"/>
    </row>
    <row r="8" spans="1:21" x14ac:dyDescent="0.25">
      <c r="A8" s="29" t="s">
        <v>6</v>
      </c>
      <c r="B8" s="39">
        <v>340</v>
      </c>
      <c r="C8" s="39">
        <v>514</v>
      </c>
      <c r="D8" s="39">
        <v>206.84</v>
      </c>
      <c r="E8" s="39">
        <v>258</v>
      </c>
      <c r="F8" s="39">
        <v>0</v>
      </c>
      <c r="G8" s="43">
        <f t="shared" si="0"/>
        <v>1318.84</v>
      </c>
      <c r="H8" s="48"/>
      <c r="I8" s="39">
        <v>0</v>
      </c>
      <c r="J8" s="39">
        <v>431</v>
      </c>
      <c r="K8" s="39">
        <v>320</v>
      </c>
      <c r="L8" s="39">
        <v>385</v>
      </c>
      <c r="M8" s="39">
        <v>0</v>
      </c>
      <c r="N8" s="43">
        <f t="shared" si="1"/>
        <v>1136</v>
      </c>
      <c r="O8" s="48"/>
      <c r="P8" s="34"/>
      <c r="Q8" s="34"/>
      <c r="R8" s="34"/>
      <c r="S8" s="34"/>
      <c r="T8" s="35"/>
      <c r="U8" s="23"/>
    </row>
    <row r="9" spans="1:21" x14ac:dyDescent="0.25">
      <c r="A9" s="29" t="s">
        <v>7</v>
      </c>
      <c r="B9" s="39">
        <v>345</v>
      </c>
      <c r="C9" s="39">
        <v>891.5</v>
      </c>
      <c r="D9" s="39">
        <v>410</v>
      </c>
      <c r="E9" s="39">
        <v>1143</v>
      </c>
      <c r="F9" s="39">
        <v>0</v>
      </c>
      <c r="G9" s="43">
        <f t="shared" si="0"/>
        <v>2789.5</v>
      </c>
      <c r="H9" s="48"/>
      <c r="I9" s="39">
        <v>371</v>
      </c>
      <c r="J9" s="39">
        <v>1256</v>
      </c>
      <c r="K9" s="39">
        <v>844.57</v>
      </c>
      <c r="L9" s="39">
        <v>1250.02</v>
      </c>
      <c r="M9" s="39">
        <v>0</v>
      </c>
      <c r="N9" s="43">
        <f t="shared" si="1"/>
        <v>3721.59</v>
      </c>
      <c r="O9" s="48"/>
      <c r="P9" s="34"/>
      <c r="Q9" s="34"/>
      <c r="R9" s="34"/>
      <c r="S9" s="34"/>
      <c r="T9" s="35"/>
      <c r="U9" s="23"/>
    </row>
    <row r="10" spans="1:21" x14ac:dyDescent="0.25">
      <c r="A10" s="29" t="s">
        <v>8</v>
      </c>
      <c r="B10" s="39">
        <v>0</v>
      </c>
      <c r="C10" s="39">
        <v>774</v>
      </c>
      <c r="D10" s="39">
        <v>574.1</v>
      </c>
      <c r="E10" s="39">
        <v>845</v>
      </c>
      <c r="F10" s="39">
        <v>0</v>
      </c>
      <c r="G10" s="43">
        <f t="shared" si="0"/>
        <v>2193.1</v>
      </c>
      <c r="H10" s="48"/>
      <c r="I10" s="39">
        <v>115</v>
      </c>
      <c r="J10" s="39">
        <v>930</v>
      </c>
      <c r="K10" s="39">
        <v>616.33000000000004</v>
      </c>
      <c r="L10" s="39">
        <v>735.9</v>
      </c>
      <c r="M10" s="39">
        <v>0</v>
      </c>
      <c r="N10" s="43">
        <f t="shared" si="1"/>
        <v>2397.23</v>
      </c>
      <c r="O10" s="48"/>
      <c r="P10" s="34"/>
      <c r="Q10" s="34"/>
      <c r="R10" s="34"/>
      <c r="S10" s="34"/>
      <c r="T10" s="35"/>
      <c r="U10" s="23"/>
    </row>
    <row r="11" spans="1:21" x14ac:dyDescent="0.25">
      <c r="A11" s="29" t="s">
        <v>9</v>
      </c>
      <c r="B11" s="39">
        <v>26</v>
      </c>
      <c r="C11" s="39">
        <v>555</v>
      </c>
      <c r="D11" s="39">
        <v>326.8</v>
      </c>
      <c r="E11" s="39">
        <v>599.5</v>
      </c>
      <c r="F11" s="39">
        <v>0</v>
      </c>
      <c r="G11" s="43">
        <f t="shared" si="0"/>
        <v>1507.3</v>
      </c>
      <c r="H11" s="48"/>
      <c r="I11" s="39">
        <v>223.5</v>
      </c>
      <c r="J11" s="39">
        <v>151</v>
      </c>
      <c r="K11" s="39">
        <v>55</v>
      </c>
      <c r="L11" s="39">
        <v>38</v>
      </c>
      <c r="M11" s="39">
        <v>0</v>
      </c>
      <c r="N11" s="43">
        <f t="shared" si="1"/>
        <v>467.5</v>
      </c>
      <c r="O11" s="48"/>
      <c r="P11" s="34"/>
      <c r="Q11" s="34"/>
      <c r="R11" s="34"/>
      <c r="S11" s="34"/>
      <c r="T11" s="35"/>
      <c r="U11" s="23"/>
    </row>
    <row r="12" spans="1:21" x14ac:dyDescent="0.25">
      <c r="A12" s="29" t="s">
        <v>10</v>
      </c>
      <c r="B12" s="39">
        <v>180</v>
      </c>
      <c r="C12" s="39">
        <v>629.11</v>
      </c>
      <c r="D12" s="39">
        <v>436.72</v>
      </c>
      <c r="E12" s="39">
        <v>610.27</v>
      </c>
      <c r="F12" s="39">
        <v>0</v>
      </c>
      <c r="G12" s="43">
        <f t="shared" si="0"/>
        <v>1856.1</v>
      </c>
      <c r="H12" s="48"/>
      <c r="I12" s="39">
        <v>158</v>
      </c>
      <c r="J12" s="39">
        <v>656</v>
      </c>
      <c r="K12" s="39">
        <v>334.8</v>
      </c>
      <c r="L12" s="39">
        <v>625.5</v>
      </c>
      <c r="M12" s="39">
        <v>0</v>
      </c>
      <c r="N12" s="43">
        <f t="shared" si="1"/>
        <v>1774.3</v>
      </c>
      <c r="O12" s="48"/>
      <c r="P12" s="34"/>
      <c r="Q12" s="34"/>
      <c r="R12" s="34"/>
      <c r="S12" s="34"/>
      <c r="T12" s="35"/>
      <c r="U12" s="23"/>
    </row>
    <row r="13" spans="1:21" x14ac:dyDescent="0.25">
      <c r="A13" s="29" t="s">
        <v>11</v>
      </c>
      <c r="B13" s="39">
        <v>55</v>
      </c>
      <c r="C13" s="39">
        <v>211</v>
      </c>
      <c r="D13" s="39">
        <v>237</v>
      </c>
      <c r="E13" s="39">
        <v>321</v>
      </c>
      <c r="F13" s="39">
        <v>0</v>
      </c>
      <c r="G13" s="43">
        <f t="shared" si="0"/>
        <v>824</v>
      </c>
      <c r="H13" s="48"/>
      <c r="I13" s="39">
        <v>193</v>
      </c>
      <c r="J13" s="39">
        <v>580</v>
      </c>
      <c r="K13" s="39">
        <v>471.72</v>
      </c>
      <c r="L13" s="39">
        <v>781.98</v>
      </c>
      <c r="M13" s="39">
        <v>0</v>
      </c>
      <c r="N13" s="43">
        <f t="shared" si="1"/>
        <v>2026.7</v>
      </c>
      <c r="O13" s="48"/>
      <c r="P13" s="34"/>
      <c r="Q13" s="34"/>
      <c r="R13" s="34"/>
      <c r="S13" s="34"/>
      <c r="T13" s="35"/>
      <c r="U13" s="23"/>
    </row>
    <row r="14" spans="1:21" x14ac:dyDescent="0.25">
      <c r="A14" s="30" t="s">
        <v>12</v>
      </c>
      <c r="B14" s="39">
        <v>362</v>
      </c>
      <c r="C14" s="39">
        <v>473</v>
      </c>
      <c r="D14" s="39">
        <v>391</v>
      </c>
      <c r="E14" s="39">
        <v>627.5</v>
      </c>
      <c r="F14" s="39">
        <v>0</v>
      </c>
      <c r="G14" s="33">
        <f t="shared" si="0"/>
        <v>1853.5</v>
      </c>
      <c r="H14" s="48"/>
      <c r="I14" s="39">
        <v>230</v>
      </c>
      <c r="J14" s="39">
        <v>529</v>
      </c>
      <c r="K14" s="39">
        <v>435.95</v>
      </c>
      <c r="L14" s="39">
        <v>724.8</v>
      </c>
      <c r="M14" s="39">
        <v>0</v>
      </c>
      <c r="N14" s="33">
        <f t="shared" si="1"/>
        <v>1919.75</v>
      </c>
      <c r="O14" s="48"/>
      <c r="P14" s="34"/>
      <c r="Q14" s="34"/>
      <c r="R14" s="34"/>
      <c r="S14" s="34"/>
      <c r="T14" s="35"/>
      <c r="U14" s="23"/>
    </row>
    <row r="15" spans="1:21" x14ac:dyDescent="0.25">
      <c r="A15" s="23" t="s">
        <v>13</v>
      </c>
      <c r="B15" s="32">
        <f>SUM(B3:B14)</f>
        <v>1526.17</v>
      </c>
      <c r="C15" s="32">
        <f>SUM(C3:C14)</f>
        <v>5458.0099999999993</v>
      </c>
      <c r="D15" s="32">
        <f>SUM(D3:D14)</f>
        <v>4115.8599999999997</v>
      </c>
      <c r="E15" s="32">
        <f>SUM(E3:E14)</f>
        <v>6824.77</v>
      </c>
      <c r="F15" s="32">
        <f>SUM(F3:F14)</f>
        <v>0</v>
      </c>
      <c r="G15" s="43">
        <f>SUM(B3:F14)</f>
        <v>17924.810000000001</v>
      </c>
      <c r="H15" s="48"/>
      <c r="I15" s="45">
        <f>SUM(I3:I14)</f>
        <v>1470.5</v>
      </c>
      <c r="J15" s="32">
        <f>SUM(J3:J14)</f>
        <v>6591</v>
      </c>
      <c r="K15" s="32">
        <f>SUM(K3:K14)</f>
        <v>4851.1500000000005</v>
      </c>
      <c r="L15" s="32">
        <f>SUM(L3:L14)</f>
        <v>6856.0999999999995</v>
      </c>
      <c r="M15" s="32">
        <f>SUM(M3:M14)</f>
        <v>0</v>
      </c>
      <c r="N15" s="43">
        <f>SUM(I3:M14)</f>
        <v>19768.749999999996</v>
      </c>
      <c r="O15" s="48"/>
      <c r="P15" s="45">
        <f>SUM(P3:P14)</f>
        <v>0</v>
      </c>
      <c r="Q15" s="32">
        <f>SUM(Q3:Q14)</f>
        <v>292</v>
      </c>
      <c r="R15" s="32">
        <f>SUM(R3:R14)</f>
        <v>273.52</v>
      </c>
      <c r="S15" s="32">
        <f>SUM(S3:S14)</f>
        <v>367.27</v>
      </c>
      <c r="T15" s="32">
        <f>SUM(T3:T14)</f>
        <v>0</v>
      </c>
      <c r="U15" s="32">
        <f>SUM(P3:T14)</f>
        <v>932.79</v>
      </c>
    </row>
    <row r="17" spans="1:21" x14ac:dyDescent="0.25">
      <c r="A17" s="36" t="s">
        <v>40</v>
      </c>
      <c r="B17" s="36" t="s">
        <v>39</v>
      </c>
      <c r="C17" s="22"/>
      <c r="D17" s="22"/>
      <c r="E17" s="22"/>
      <c r="F17" s="22"/>
      <c r="G17" s="22"/>
      <c r="H17" s="49"/>
      <c r="I17" s="36" t="s">
        <v>41</v>
      </c>
      <c r="J17" s="36" t="s">
        <v>39</v>
      </c>
      <c r="K17" s="22"/>
      <c r="L17" s="22"/>
      <c r="M17" s="22"/>
      <c r="N17" s="22"/>
      <c r="O17" s="49"/>
      <c r="P17" s="36" t="s">
        <v>41</v>
      </c>
      <c r="Q17" s="36" t="s">
        <v>39</v>
      </c>
      <c r="R17" s="22"/>
      <c r="S17" s="22"/>
      <c r="T17" s="22"/>
      <c r="U17" s="22"/>
    </row>
    <row r="18" spans="1:21" x14ac:dyDescent="0.25">
      <c r="A18" s="23" t="s">
        <v>0</v>
      </c>
      <c r="B18" s="23" t="s">
        <v>21</v>
      </c>
      <c r="C18" s="23" t="s">
        <v>22</v>
      </c>
      <c r="D18" s="23" t="s">
        <v>23</v>
      </c>
      <c r="E18" s="23" t="s">
        <v>24</v>
      </c>
      <c r="F18" s="38" t="s">
        <v>25</v>
      </c>
      <c r="G18" s="25" t="s">
        <v>13</v>
      </c>
      <c r="H18" s="47"/>
      <c r="I18" s="44" t="s">
        <v>21</v>
      </c>
      <c r="J18" s="23" t="s">
        <v>22</v>
      </c>
      <c r="K18" s="23" t="s">
        <v>23</v>
      </c>
      <c r="L18" s="23" t="s">
        <v>24</v>
      </c>
      <c r="M18" s="38" t="s">
        <v>25</v>
      </c>
      <c r="N18" s="25" t="s">
        <v>13</v>
      </c>
      <c r="O18" s="47"/>
      <c r="P18" s="44" t="s">
        <v>21</v>
      </c>
      <c r="Q18" s="23" t="s">
        <v>22</v>
      </c>
      <c r="R18" s="23" t="s">
        <v>23</v>
      </c>
      <c r="S18" s="23" t="s">
        <v>24</v>
      </c>
      <c r="T18" s="38" t="s">
        <v>25</v>
      </c>
      <c r="U18" s="24" t="s">
        <v>13</v>
      </c>
    </row>
    <row r="19" spans="1:21" x14ac:dyDescent="0.25">
      <c r="A19" s="26" t="s">
        <v>1</v>
      </c>
      <c r="B19" s="20">
        <v>0</v>
      </c>
      <c r="C19" s="20">
        <v>0</v>
      </c>
      <c r="D19" s="20">
        <v>0</v>
      </c>
      <c r="E19" s="39">
        <v>0</v>
      </c>
      <c r="F19" s="39">
        <v>0</v>
      </c>
      <c r="G19" s="31">
        <f>SUM(B19:F19)</f>
        <v>0</v>
      </c>
      <c r="H19" s="50"/>
      <c r="I19" s="39">
        <v>0</v>
      </c>
      <c r="J19" s="39">
        <v>0</v>
      </c>
      <c r="K19" s="39">
        <v>0</v>
      </c>
      <c r="L19" s="39">
        <v>0</v>
      </c>
      <c r="M19" s="39">
        <v>0</v>
      </c>
      <c r="N19" s="31">
        <f>SUM(I19:M19)</f>
        <v>0</v>
      </c>
      <c r="O19" s="50"/>
      <c r="P19" s="39">
        <v>0</v>
      </c>
      <c r="Q19" s="39">
        <v>0</v>
      </c>
      <c r="R19" s="39">
        <v>0</v>
      </c>
      <c r="S19" s="39">
        <v>0</v>
      </c>
      <c r="T19" s="39">
        <v>0</v>
      </c>
      <c r="U19" s="28">
        <f>SUM(P19:T19)</f>
        <v>0</v>
      </c>
    </row>
    <row r="20" spans="1:21" x14ac:dyDescent="0.25">
      <c r="A20" s="29" t="s">
        <v>2</v>
      </c>
      <c r="B20" s="20">
        <v>0</v>
      </c>
      <c r="C20" s="20">
        <v>0</v>
      </c>
      <c r="D20" s="20">
        <v>0</v>
      </c>
      <c r="E20" s="39">
        <v>0</v>
      </c>
      <c r="F20" s="39">
        <v>0</v>
      </c>
      <c r="G20" s="31">
        <f t="shared" ref="G20:G30" si="2">SUM(B20:F20)</f>
        <v>0</v>
      </c>
      <c r="H20" s="50"/>
      <c r="I20" s="39">
        <v>0</v>
      </c>
      <c r="J20" s="39">
        <v>0</v>
      </c>
      <c r="K20" s="39">
        <v>0</v>
      </c>
      <c r="L20" s="39">
        <v>36</v>
      </c>
      <c r="M20" s="39">
        <v>0</v>
      </c>
      <c r="N20" s="31">
        <f t="shared" ref="N20:N30" si="3">SUM(I20:M20)</f>
        <v>36</v>
      </c>
      <c r="O20" s="50"/>
      <c r="P20" s="27"/>
      <c r="Q20" s="27"/>
      <c r="R20" s="27"/>
      <c r="S20" s="27"/>
      <c r="T20" s="27"/>
      <c r="U20" s="23"/>
    </row>
    <row r="21" spans="1:21" x14ac:dyDescent="0.25">
      <c r="A21" s="29" t="s">
        <v>3</v>
      </c>
      <c r="B21" s="20">
        <v>0</v>
      </c>
      <c r="C21" s="20">
        <v>48</v>
      </c>
      <c r="D21" s="20">
        <v>72</v>
      </c>
      <c r="E21" s="39">
        <v>69</v>
      </c>
      <c r="F21" s="39">
        <v>0</v>
      </c>
      <c r="G21" s="31">
        <f t="shared" si="2"/>
        <v>189</v>
      </c>
      <c r="H21" s="50"/>
      <c r="I21" s="39">
        <v>0</v>
      </c>
      <c r="J21" s="39">
        <v>0</v>
      </c>
      <c r="K21" s="39">
        <v>0</v>
      </c>
      <c r="L21" s="39">
        <v>0</v>
      </c>
      <c r="M21" s="39">
        <v>0</v>
      </c>
      <c r="N21" s="31">
        <f t="shared" si="3"/>
        <v>0</v>
      </c>
      <c r="O21" s="50"/>
      <c r="P21" s="27"/>
      <c r="Q21" s="27"/>
      <c r="R21" s="27"/>
      <c r="S21" s="27"/>
      <c r="T21" s="27"/>
      <c r="U21" s="23"/>
    </row>
    <row r="22" spans="1:21" x14ac:dyDescent="0.25">
      <c r="A22" s="29" t="s">
        <v>4</v>
      </c>
      <c r="B22" s="39">
        <v>0</v>
      </c>
      <c r="C22" s="39">
        <v>0</v>
      </c>
      <c r="D22" s="39">
        <v>0</v>
      </c>
      <c r="E22" s="39">
        <v>0</v>
      </c>
      <c r="F22" s="39">
        <v>0</v>
      </c>
      <c r="G22" s="31">
        <f t="shared" si="2"/>
        <v>0</v>
      </c>
      <c r="H22" s="50"/>
      <c r="I22" s="39">
        <v>0</v>
      </c>
      <c r="J22" s="39">
        <v>0</v>
      </c>
      <c r="K22" s="39">
        <v>0</v>
      </c>
      <c r="L22" s="39">
        <v>0</v>
      </c>
      <c r="M22" s="39">
        <v>0</v>
      </c>
      <c r="N22" s="31">
        <f t="shared" si="3"/>
        <v>0</v>
      </c>
      <c r="O22" s="50"/>
      <c r="P22" s="27"/>
      <c r="Q22" s="27"/>
      <c r="R22" s="27"/>
      <c r="S22" s="27"/>
      <c r="T22" s="27"/>
      <c r="U22" s="23"/>
    </row>
    <row r="23" spans="1:21" x14ac:dyDescent="0.25">
      <c r="A23" s="29" t="s">
        <v>5</v>
      </c>
      <c r="B23" s="39">
        <v>0</v>
      </c>
      <c r="C23" s="39">
        <v>0</v>
      </c>
      <c r="D23" s="39">
        <v>0</v>
      </c>
      <c r="E23" s="39">
        <v>0</v>
      </c>
      <c r="F23" s="39">
        <v>0</v>
      </c>
      <c r="G23" s="31">
        <f t="shared" si="2"/>
        <v>0</v>
      </c>
      <c r="H23" s="50"/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1">
        <f t="shared" si="3"/>
        <v>0</v>
      </c>
      <c r="O23" s="50"/>
      <c r="P23" s="27"/>
      <c r="Q23" s="27"/>
      <c r="R23" s="27"/>
      <c r="S23" s="27"/>
      <c r="T23" s="27"/>
      <c r="U23" s="23"/>
    </row>
    <row r="24" spans="1:21" x14ac:dyDescent="0.25">
      <c r="A24" s="29" t="s">
        <v>6</v>
      </c>
      <c r="B24" s="39">
        <v>0</v>
      </c>
      <c r="C24" s="39">
        <v>0</v>
      </c>
      <c r="D24" s="39">
        <v>0</v>
      </c>
      <c r="E24" s="39">
        <v>0</v>
      </c>
      <c r="F24" s="39">
        <v>0</v>
      </c>
      <c r="G24" s="31">
        <f t="shared" si="2"/>
        <v>0</v>
      </c>
      <c r="H24" s="50"/>
      <c r="I24" s="39">
        <v>0</v>
      </c>
      <c r="J24" s="39">
        <v>0</v>
      </c>
      <c r="K24" s="39">
        <v>0</v>
      </c>
      <c r="L24" s="39">
        <v>0</v>
      </c>
      <c r="M24" s="39">
        <v>0</v>
      </c>
      <c r="N24" s="31">
        <f t="shared" si="3"/>
        <v>0</v>
      </c>
      <c r="O24" s="50"/>
      <c r="P24" s="27"/>
      <c r="Q24" s="27"/>
      <c r="R24" s="27"/>
      <c r="S24" s="27"/>
      <c r="T24" s="27"/>
      <c r="U24" s="23"/>
    </row>
    <row r="25" spans="1:21" x14ac:dyDescent="0.25">
      <c r="A25" s="29" t="s">
        <v>7</v>
      </c>
      <c r="B25" s="39">
        <v>65</v>
      </c>
      <c r="C25" s="39">
        <v>48</v>
      </c>
      <c r="D25" s="39">
        <v>0</v>
      </c>
      <c r="E25" s="39">
        <v>0</v>
      </c>
      <c r="F25" s="39">
        <v>0</v>
      </c>
      <c r="G25" s="31">
        <f t="shared" si="2"/>
        <v>113</v>
      </c>
      <c r="H25" s="50"/>
      <c r="I25" s="39">
        <v>0</v>
      </c>
      <c r="J25" s="39">
        <v>0</v>
      </c>
      <c r="K25" s="39">
        <v>8</v>
      </c>
      <c r="L25" s="39">
        <v>30</v>
      </c>
      <c r="M25" s="39">
        <v>0</v>
      </c>
      <c r="N25" s="31">
        <f t="shared" si="3"/>
        <v>38</v>
      </c>
      <c r="O25" s="50"/>
      <c r="P25" s="27"/>
      <c r="Q25" s="27"/>
      <c r="R25" s="27"/>
      <c r="S25" s="27"/>
      <c r="T25" s="27"/>
      <c r="U25" s="23"/>
    </row>
    <row r="26" spans="1:21" x14ac:dyDescent="0.25">
      <c r="A26" s="29" t="s">
        <v>8</v>
      </c>
      <c r="B26" s="39">
        <v>0</v>
      </c>
      <c r="C26" s="39">
        <v>0</v>
      </c>
      <c r="D26" s="39">
        <v>8</v>
      </c>
      <c r="E26" s="39">
        <v>30</v>
      </c>
      <c r="F26" s="39">
        <v>0</v>
      </c>
      <c r="G26" s="31">
        <f t="shared" si="2"/>
        <v>38</v>
      </c>
      <c r="H26" s="50"/>
      <c r="I26" s="39">
        <v>0</v>
      </c>
      <c r="J26" s="39">
        <v>40</v>
      </c>
      <c r="K26" s="39">
        <v>48</v>
      </c>
      <c r="L26" s="39">
        <v>38.5</v>
      </c>
      <c r="M26" s="39">
        <v>0</v>
      </c>
      <c r="N26" s="31">
        <f t="shared" si="3"/>
        <v>126.5</v>
      </c>
      <c r="O26" s="50"/>
      <c r="P26" s="27"/>
      <c r="Q26" s="27"/>
      <c r="R26" s="27"/>
      <c r="S26" s="27"/>
      <c r="T26" s="27"/>
      <c r="U26" s="23"/>
    </row>
    <row r="27" spans="1:21" x14ac:dyDescent="0.25">
      <c r="A27" s="29" t="s">
        <v>9</v>
      </c>
      <c r="B27" s="39">
        <v>0</v>
      </c>
      <c r="C27" s="39">
        <v>0</v>
      </c>
      <c r="D27" s="39">
        <v>0</v>
      </c>
      <c r="E27" s="39">
        <v>0</v>
      </c>
      <c r="F27" s="39">
        <v>0</v>
      </c>
      <c r="G27" s="31">
        <f t="shared" si="2"/>
        <v>0</v>
      </c>
      <c r="H27" s="50"/>
      <c r="I27" s="39">
        <v>0</v>
      </c>
      <c r="J27" s="39">
        <v>0</v>
      </c>
      <c r="K27" s="39">
        <v>0</v>
      </c>
      <c r="L27" s="39">
        <v>0</v>
      </c>
      <c r="M27" s="39">
        <v>0</v>
      </c>
      <c r="N27" s="31">
        <f t="shared" si="3"/>
        <v>0</v>
      </c>
      <c r="O27" s="50"/>
      <c r="P27" s="27"/>
      <c r="Q27" s="27"/>
      <c r="R27" s="27"/>
      <c r="S27" s="27"/>
      <c r="T27" s="27"/>
      <c r="U27" s="23"/>
    </row>
    <row r="28" spans="1:21" x14ac:dyDescent="0.25">
      <c r="A28" s="29" t="s">
        <v>10</v>
      </c>
      <c r="B28" s="39">
        <v>0</v>
      </c>
      <c r="C28" s="39">
        <v>0</v>
      </c>
      <c r="D28" s="39">
        <v>0</v>
      </c>
      <c r="E28" s="39">
        <v>0</v>
      </c>
      <c r="F28" s="39">
        <v>0</v>
      </c>
      <c r="G28" s="31">
        <f t="shared" si="2"/>
        <v>0</v>
      </c>
      <c r="H28" s="50"/>
      <c r="I28" s="39">
        <v>0</v>
      </c>
      <c r="J28" s="39">
        <v>0</v>
      </c>
      <c r="K28" s="39">
        <v>0</v>
      </c>
      <c r="L28" s="39">
        <v>0</v>
      </c>
      <c r="M28" s="39">
        <v>0</v>
      </c>
      <c r="N28" s="31">
        <f t="shared" si="3"/>
        <v>0</v>
      </c>
      <c r="O28" s="50"/>
      <c r="P28" s="27"/>
      <c r="Q28" s="27"/>
      <c r="R28" s="27"/>
      <c r="S28" s="27"/>
      <c r="T28" s="27"/>
      <c r="U28" s="23"/>
    </row>
    <row r="29" spans="1:21" x14ac:dyDescent="0.25">
      <c r="A29" s="29" t="s">
        <v>11</v>
      </c>
      <c r="B29" s="39">
        <v>0</v>
      </c>
      <c r="C29" s="39">
        <v>0</v>
      </c>
      <c r="D29" s="39">
        <v>0</v>
      </c>
      <c r="E29" s="39">
        <v>0</v>
      </c>
      <c r="F29" s="39">
        <v>0</v>
      </c>
      <c r="G29" s="31">
        <f t="shared" si="2"/>
        <v>0</v>
      </c>
      <c r="H29" s="50"/>
      <c r="I29" s="39">
        <v>0</v>
      </c>
      <c r="J29" s="39">
        <v>50</v>
      </c>
      <c r="K29" s="39">
        <v>67.8</v>
      </c>
      <c r="L29" s="39">
        <v>88.25</v>
      </c>
      <c r="M29" s="39">
        <v>0</v>
      </c>
      <c r="N29" s="31">
        <f t="shared" si="3"/>
        <v>206.05</v>
      </c>
      <c r="O29" s="50"/>
      <c r="P29" s="27"/>
      <c r="Q29" s="27"/>
      <c r="R29" s="27"/>
      <c r="S29" s="27"/>
      <c r="T29" s="27"/>
      <c r="U29" s="23"/>
    </row>
    <row r="30" spans="1:21" x14ac:dyDescent="0.25">
      <c r="A30" s="30" t="s">
        <v>12</v>
      </c>
      <c r="B30" s="39">
        <v>0</v>
      </c>
      <c r="C30" s="39">
        <v>0</v>
      </c>
      <c r="D30" s="39">
        <v>0</v>
      </c>
      <c r="E30" s="39">
        <v>0</v>
      </c>
      <c r="F30" s="39">
        <v>0</v>
      </c>
      <c r="G30" s="31">
        <f t="shared" si="2"/>
        <v>0</v>
      </c>
      <c r="H30" s="50"/>
      <c r="I30" s="39">
        <v>0</v>
      </c>
      <c r="J30" s="39">
        <v>45</v>
      </c>
      <c r="K30" s="39">
        <v>63.24</v>
      </c>
      <c r="L30" s="39">
        <v>36</v>
      </c>
      <c r="M30" s="39">
        <v>0</v>
      </c>
      <c r="N30" s="31">
        <f t="shared" si="3"/>
        <v>144.24</v>
      </c>
      <c r="O30" s="50"/>
      <c r="P30" s="27"/>
      <c r="Q30" s="27"/>
      <c r="R30" s="27"/>
      <c r="S30" s="27"/>
      <c r="T30" s="27"/>
      <c r="U30" s="23"/>
    </row>
    <row r="31" spans="1:21" x14ac:dyDescent="0.25">
      <c r="A31" s="23" t="s">
        <v>13</v>
      </c>
      <c r="B31" s="28">
        <f>SUM(B19:B30)</f>
        <v>65</v>
      </c>
      <c r="C31" s="28">
        <f>SUM(C19:C30)</f>
        <v>96</v>
      </c>
      <c r="D31" s="28">
        <f>SUM(D19:D30)</f>
        <v>80</v>
      </c>
      <c r="E31" s="28">
        <f>SUM(E19:E30)</f>
        <v>99</v>
      </c>
      <c r="F31" s="28">
        <f>SUM(F19:F30)</f>
        <v>0</v>
      </c>
      <c r="G31" s="31">
        <f>SUM(B19:F30)</f>
        <v>340</v>
      </c>
      <c r="H31" s="50"/>
      <c r="I31" s="46">
        <f>SUM(I19:I30)</f>
        <v>0</v>
      </c>
      <c r="J31" s="28">
        <f>SUM(J19:J30)</f>
        <v>135</v>
      </c>
      <c r="K31" s="28">
        <f>SUM(K19:K30)</f>
        <v>187.04</v>
      </c>
      <c r="L31" s="28">
        <f>SUM(L19:L30)</f>
        <v>228.75</v>
      </c>
      <c r="M31" s="28">
        <f>SUM(M19:M30)</f>
        <v>0</v>
      </c>
      <c r="N31" s="31">
        <f>SUM(I19:M30)</f>
        <v>550.79</v>
      </c>
      <c r="O31" s="50"/>
      <c r="P31" s="46">
        <f>SUM(P19:P30)</f>
        <v>0</v>
      </c>
      <c r="Q31" s="28">
        <f>SUM(Q19:Q30)</f>
        <v>0</v>
      </c>
      <c r="R31" s="28">
        <f>SUM(R19:R30)</f>
        <v>0</v>
      </c>
      <c r="S31" s="28">
        <f>SUM(S19:S30)</f>
        <v>0</v>
      </c>
      <c r="T31" s="31">
        <f>SUM(T19:T30)</f>
        <v>0</v>
      </c>
      <c r="U31" s="28">
        <f>SUM(P19:T30)</f>
        <v>0</v>
      </c>
    </row>
    <row r="33" spans="1:21" x14ac:dyDescent="0.25">
      <c r="A33" s="34" t="s">
        <v>40</v>
      </c>
      <c r="B33" s="21" t="s">
        <v>13</v>
      </c>
      <c r="I33" s="36" t="s">
        <v>41</v>
      </c>
      <c r="J33" s="21" t="s">
        <v>13</v>
      </c>
      <c r="P33" s="36" t="s">
        <v>41</v>
      </c>
      <c r="Q33" s="21" t="s">
        <v>13</v>
      </c>
    </row>
    <row r="34" spans="1:21" x14ac:dyDescent="0.25">
      <c r="A34" s="23" t="s">
        <v>0</v>
      </c>
      <c r="B34" s="23" t="s">
        <v>21</v>
      </c>
      <c r="C34" s="23" t="s">
        <v>22</v>
      </c>
      <c r="D34" s="23" t="s">
        <v>23</v>
      </c>
      <c r="E34" s="23" t="s">
        <v>24</v>
      </c>
      <c r="F34" s="38" t="s">
        <v>25</v>
      </c>
      <c r="G34" s="25" t="s">
        <v>13</v>
      </c>
      <c r="H34" s="47"/>
      <c r="I34" s="44" t="s">
        <v>21</v>
      </c>
      <c r="J34" s="23" t="s">
        <v>22</v>
      </c>
      <c r="K34" s="23" t="s">
        <v>23</v>
      </c>
      <c r="L34" s="23" t="s">
        <v>24</v>
      </c>
      <c r="M34" s="38" t="s">
        <v>25</v>
      </c>
      <c r="N34" s="25" t="s">
        <v>13</v>
      </c>
      <c r="O34" s="47"/>
      <c r="P34" s="44" t="s">
        <v>21</v>
      </c>
      <c r="Q34" s="23" t="s">
        <v>22</v>
      </c>
      <c r="R34" s="23" t="s">
        <v>23</v>
      </c>
      <c r="S34" s="23" t="s">
        <v>24</v>
      </c>
      <c r="T34" s="38" t="s">
        <v>25</v>
      </c>
      <c r="U34" s="24" t="s">
        <v>13</v>
      </c>
    </row>
    <row r="35" spans="1:21" x14ac:dyDescent="0.25">
      <c r="A35" s="26" t="s">
        <v>1</v>
      </c>
      <c r="B35" s="27" t="s">
        <v>42</v>
      </c>
      <c r="C35" s="27" t="s">
        <v>42</v>
      </c>
      <c r="D35" s="27" t="s">
        <v>42</v>
      </c>
      <c r="E35" s="27" t="s">
        <v>42</v>
      </c>
      <c r="F35" s="27" t="s">
        <v>42</v>
      </c>
      <c r="G35" s="31">
        <f>SUM(B35:F35)</f>
        <v>0</v>
      </c>
      <c r="H35" s="50"/>
      <c r="I35" s="27" t="s">
        <v>42</v>
      </c>
      <c r="J35" s="27" t="s">
        <v>42</v>
      </c>
      <c r="K35" s="27" t="s">
        <v>42</v>
      </c>
      <c r="L35" s="27" t="s">
        <v>42</v>
      </c>
      <c r="M35" s="27" t="s">
        <v>42</v>
      </c>
      <c r="N35" s="31">
        <f>SUM(I35:M35)</f>
        <v>0</v>
      </c>
      <c r="O35" s="50"/>
      <c r="P35" s="27" t="s">
        <v>42</v>
      </c>
      <c r="Q35" s="27" t="s">
        <v>42</v>
      </c>
      <c r="R35" s="27" t="s">
        <v>42</v>
      </c>
      <c r="S35" s="27" t="s">
        <v>42</v>
      </c>
      <c r="T35" s="27" t="s">
        <v>42</v>
      </c>
      <c r="U35" s="28">
        <f>SUM(P35:T35)</f>
        <v>0</v>
      </c>
    </row>
    <row r="36" spans="1:21" x14ac:dyDescent="0.25">
      <c r="A36" s="29" t="s">
        <v>2</v>
      </c>
      <c r="B36" s="27" t="s">
        <v>42</v>
      </c>
      <c r="C36" s="27" t="s">
        <v>42</v>
      </c>
      <c r="D36" s="27" t="s">
        <v>42</v>
      </c>
      <c r="E36" s="27" t="s">
        <v>42</v>
      </c>
      <c r="F36" s="27" t="s">
        <v>42</v>
      </c>
      <c r="G36" s="31">
        <f t="shared" ref="G36:G46" si="4">SUM(B36:F36)</f>
        <v>0</v>
      </c>
      <c r="H36" s="50"/>
      <c r="I36" s="27" t="s">
        <v>42</v>
      </c>
      <c r="J36" s="27" t="s">
        <v>42</v>
      </c>
      <c r="K36" s="27" t="s">
        <v>42</v>
      </c>
      <c r="L36" s="27" t="s">
        <v>42</v>
      </c>
      <c r="M36" s="27" t="s">
        <v>42</v>
      </c>
      <c r="N36" s="31">
        <f t="shared" ref="N36:N46" si="5">SUM(I36:M36)</f>
        <v>0</v>
      </c>
      <c r="O36" s="50"/>
      <c r="P36" s="27" t="s">
        <v>42</v>
      </c>
      <c r="Q36" s="27" t="s">
        <v>42</v>
      </c>
      <c r="R36" s="27" t="s">
        <v>42</v>
      </c>
      <c r="S36" s="27" t="s">
        <v>42</v>
      </c>
      <c r="T36" s="27" t="s">
        <v>42</v>
      </c>
      <c r="U36" s="28">
        <f t="shared" ref="U36:U46" si="6">SUM(P36:T36)</f>
        <v>0</v>
      </c>
    </row>
    <row r="37" spans="1:21" x14ac:dyDescent="0.25">
      <c r="A37" s="29" t="s">
        <v>3</v>
      </c>
      <c r="B37" s="27" t="s">
        <v>42</v>
      </c>
      <c r="C37" s="27" t="s">
        <v>42</v>
      </c>
      <c r="D37" s="27" t="s">
        <v>42</v>
      </c>
      <c r="E37" s="27" t="s">
        <v>42</v>
      </c>
      <c r="F37" s="27" t="s">
        <v>42</v>
      </c>
      <c r="G37" s="31">
        <f t="shared" si="4"/>
        <v>0</v>
      </c>
      <c r="H37" s="50"/>
      <c r="I37" s="27" t="s">
        <v>42</v>
      </c>
      <c r="J37" s="27" t="s">
        <v>42</v>
      </c>
      <c r="K37" s="27" t="s">
        <v>42</v>
      </c>
      <c r="L37" s="27" t="s">
        <v>42</v>
      </c>
      <c r="M37" s="27" t="s">
        <v>42</v>
      </c>
      <c r="N37" s="31">
        <f t="shared" si="5"/>
        <v>0</v>
      </c>
      <c r="O37" s="50"/>
      <c r="P37" s="27" t="s">
        <v>42</v>
      </c>
      <c r="Q37" s="27" t="s">
        <v>42</v>
      </c>
      <c r="R37" s="27" t="s">
        <v>42</v>
      </c>
      <c r="S37" s="27" t="s">
        <v>42</v>
      </c>
      <c r="T37" s="27" t="s">
        <v>42</v>
      </c>
      <c r="U37" s="28">
        <f t="shared" si="6"/>
        <v>0</v>
      </c>
    </row>
    <row r="38" spans="1:21" x14ac:dyDescent="0.25">
      <c r="A38" s="29" t="s">
        <v>4</v>
      </c>
      <c r="B38" s="27" t="s">
        <v>42</v>
      </c>
      <c r="C38" s="27" t="s">
        <v>42</v>
      </c>
      <c r="D38" s="27" t="s">
        <v>42</v>
      </c>
      <c r="E38" s="27" t="s">
        <v>42</v>
      </c>
      <c r="F38" s="27" t="s">
        <v>42</v>
      </c>
      <c r="G38" s="31">
        <f t="shared" si="4"/>
        <v>0</v>
      </c>
      <c r="H38" s="50"/>
      <c r="I38" s="27" t="s">
        <v>42</v>
      </c>
      <c r="J38" s="27" t="s">
        <v>42</v>
      </c>
      <c r="K38" s="27" t="s">
        <v>42</v>
      </c>
      <c r="L38" s="27" t="s">
        <v>42</v>
      </c>
      <c r="M38" s="27" t="s">
        <v>42</v>
      </c>
      <c r="N38" s="31">
        <f t="shared" si="5"/>
        <v>0</v>
      </c>
      <c r="O38" s="50"/>
      <c r="P38" s="27" t="s">
        <v>42</v>
      </c>
      <c r="Q38" s="27" t="s">
        <v>42</v>
      </c>
      <c r="R38" s="27" t="s">
        <v>42</v>
      </c>
      <c r="S38" s="27" t="s">
        <v>42</v>
      </c>
      <c r="T38" s="27" t="s">
        <v>42</v>
      </c>
      <c r="U38" s="28">
        <f t="shared" si="6"/>
        <v>0</v>
      </c>
    </row>
    <row r="39" spans="1:21" x14ac:dyDescent="0.25">
      <c r="A39" s="29" t="s">
        <v>5</v>
      </c>
      <c r="B39" s="27" t="s">
        <v>42</v>
      </c>
      <c r="C39" s="27" t="s">
        <v>42</v>
      </c>
      <c r="D39" s="27" t="s">
        <v>42</v>
      </c>
      <c r="E39" s="27" t="s">
        <v>42</v>
      </c>
      <c r="F39" s="27" t="s">
        <v>42</v>
      </c>
      <c r="G39" s="31">
        <f t="shared" si="4"/>
        <v>0</v>
      </c>
      <c r="H39" s="50"/>
      <c r="I39" s="27" t="s">
        <v>42</v>
      </c>
      <c r="J39" s="27" t="s">
        <v>42</v>
      </c>
      <c r="K39" s="27" t="s">
        <v>42</v>
      </c>
      <c r="L39" s="27" t="s">
        <v>42</v>
      </c>
      <c r="M39" s="27" t="s">
        <v>42</v>
      </c>
      <c r="N39" s="31">
        <f t="shared" si="5"/>
        <v>0</v>
      </c>
      <c r="O39" s="50"/>
      <c r="P39" s="27" t="s">
        <v>42</v>
      </c>
      <c r="Q39" s="27" t="s">
        <v>42</v>
      </c>
      <c r="R39" s="27" t="s">
        <v>42</v>
      </c>
      <c r="S39" s="27" t="s">
        <v>42</v>
      </c>
      <c r="T39" s="27" t="s">
        <v>42</v>
      </c>
      <c r="U39" s="28">
        <f t="shared" si="6"/>
        <v>0</v>
      </c>
    </row>
    <row r="40" spans="1:21" x14ac:dyDescent="0.25">
      <c r="A40" s="29" t="s">
        <v>6</v>
      </c>
      <c r="B40" s="27" t="s">
        <v>42</v>
      </c>
      <c r="C40" s="27" t="s">
        <v>42</v>
      </c>
      <c r="D40" s="27" t="s">
        <v>42</v>
      </c>
      <c r="E40" s="27" t="s">
        <v>42</v>
      </c>
      <c r="F40" s="27" t="s">
        <v>42</v>
      </c>
      <c r="G40" s="31">
        <f t="shared" si="4"/>
        <v>0</v>
      </c>
      <c r="H40" s="50"/>
      <c r="I40" s="27" t="s">
        <v>42</v>
      </c>
      <c r="J40" s="27" t="s">
        <v>42</v>
      </c>
      <c r="K40" s="27" t="s">
        <v>42</v>
      </c>
      <c r="L40" s="27" t="s">
        <v>42</v>
      </c>
      <c r="M40" s="27" t="s">
        <v>42</v>
      </c>
      <c r="N40" s="31">
        <f t="shared" si="5"/>
        <v>0</v>
      </c>
      <c r="O40" s="50"/>
      <c r="P40" s="27" t="s">
        <v>42</v>
      </c>
      <c r="Q40" s="27" t="s">
        <v>42</v>
      </c>
      <c r="R40" s="27" t="s">
        <v>42</v>
      </c>
      <c r="S40" s="27" t="s">
        <v>42</v>
      </c>
      <c r="T40" s="27" t="s">
        <v>42</v>
      </c>
      <c r="U40" s="28">
        <f t="shared" si="6"/>
        <v>0</v>
      </c>
    </row>
    <row r="41" spans="1:21" x14ac:dyDescent="0.25">
      <c r="A41" s="29" t="s">
        <v>7</v>
      </c>
      <c r="B41" s="27" t="s">
        <v>42</v>
      </c>
      <c r="C41" s="27" t="s">
        <v>42</v>
      </c>
      <c r="D41" s="27" t="s">
        <v>42</v>
      </c>
      <c r="E41" s="27" t="s">
        <v>42</v>
      </c>
      <c r="F41" s="27" t="s">
        <v>42</v>
      </c>
      <c r="G41" s="31">
        <f t="shared" si="4"/>
        <v>0</v>
      </c>
      <c r="H41" s="50"/>
      <c r="I41" s="27" t="s">
        <v>42</v>
      </c>
      <c r="J41" s="27" t="s">
        <v>42</v>
      </c>
      <c r="K41" s="27" t="s">
        <v>42</v>
      </c>
      <c r="L41" s="27" t="s">
        <v>42</v>
      </c>
      <c r="M41" s="27" t="s">
        <v>42</v>
      </c>
      <c r="N41" s="31">
        <f t="shared" si="5"/>
        <v>0</v>
      </c>
      <c r="O41" s="50"/>
      <c r="P41" s="27" t="s">
        <v>42</v>
      </c>
      <c r="Q41" s="27" t="s">
        <v>42</v>
      </c>
      <c r="R41" s="27" t="s">
        <v>42</v>
      </c>
      <c r="S41" s="27" t="s">
        <v>42</v>
      </c>
      <c r="T41" s="27" t="s">
        <v>42</v>
      </c>
      <c r="U41" s="28">
        <f t="shared" si="6"/>
        <v>0</v>
      </c>
    </row>
    <row r="42" spans="1:21" x14ac:dyDescent="0.25">
      <c r="A42" s="29" t="s">
        <v>8</v>
      </c>
      <c r="B42" s="27" t="s">
        <v>42</v>
      </c>
      <c r="C42" s="27" t="s">
        <v>42</v>
      </c>
      <c r="D42" s="27" t="s">
        <v>42</v>
      </c>
      <c r="E42" s="27" t="s">
        <v>42</v>
      </c>
      <c r="F42" s="27" t="s">
        <v>42</v>
      </c>
      <c r="G42" s="31">
        <f t="shared" si="4"/>
        <v>0</v>
      </c>
      <c r="H42" s="50"/>
      <c r="I42" s="27" t="s">
        <v>42</v>
      </c>
      <c r="J42" s="27" t="s">
        <v>42</v>
      </c>
      <c r="K42" s="27" t="s">
        <v>42</v>
      </c>
      <c r="L42" s="27" t="s">
        <v>42</v>
      </c>
      <c r="M42" s="27" t="s">
        <v>42</v>
      </c>
      <c r="N42" s="31">
        <f t="shared" si="5"/>
        <v>0</v>
      </c>
      <c r="O42" s="50"/>
      <c r="P42" s="27" t="s">
        <v>42</v>
      </c>
      <c r="Q42" s="27" t="s">
        <v>42</v>
      </c>
      <c r="R42" s="27" t="s">
        <v>42</v>
      </c>
      <c r="S42" s="27" t="s">
        <v>42</v>
      </c>
      <c r="T42" s="27" t="s">
        <v>42</v>
      </c>
      <c r="U42" s="28">
        <f t="shared" si="6"/>
        <v>0</v>
      </c>
    </row>
    <row r="43" spans="1:21" x14ac:dyDescent="0.25">
      <c r="A43" s="29" t="s">
        <v>9</v>
      </c>
      <c r="B43" s="27" t="s">
        <v>42</v>
      </c>
      <c r="C43" s="27" t="s">
        <v>42</v>
      </c>
      <c r="D43" s="27" t="s">
        <v>42</v>
      </c>
      <c r="E43" s="27" t="s">
        <v>42</v>
      </c>
      <c r="F43" s="27" t="s">
        <v>42</v>
      </c>
      <c r="G43" s="31">
        <f t="shared" si="4"/>
        <v>0</v>
      </c>
      <c r="H43" s="50"/>
      <c r="I43" s="27" t="s">
        <v>42</v>
      </c>
      <c r="J43" s="27" t="s">
        <v>42</v>
      </c>
      <c r="K43" s="27" t="s">
        <v>42</v>
      </c>
      <c r="L43" s="27" t="s">
        <v>42</v>
      </c>
      <c r="M43" s="27" t="s">
        <v>42</v>
      </c>
      <c r="N43" s="31">
        <f t="shared" si="5"/>
        <v>0</v>
      </c>
      <c r="O43" s="50"/>
      <c r="P43" s="27" t="s">
        <v>42</v>
      </c>
      <c r="Q43" s="27" t="s">
        <v>42</v>
      </c>
      <c r="R43" s="27" t="s">
        <v>42</v>
      </c>
      <c r="S43" s="27" t="s">
        <v>42</v>
      </c>
      <c r="T43" s="27" t="s">
        <v>42</v>
      </c>
      <c r="U43" s="28">
        <f t="shared" si="6"/>
        <v>0</v>
      </c>
    </row>
    <row r="44" spans="1:21" x14ac:dyDescent="0.25">
      <c r="A44" s="29" t="s">
        <v>10</v>
      </c>
      <c r="B44" s="27" t="s">
        <v>42</v>
      </c>
      <c r="C44" s="27" t="s">
        <v>42</v>
      </c>
      <c r="D44" s="27" t="s">
        <v>42</v>
      </c>
      <c r="E44" s="27" t="s">
        <v>42</v>
      </c>
      <c r="F44" s="27" t="s">
        <v>42</v>
      </c>
      <c r="G44" s="31">
        <f t="shared" si="4"/>
        <v>0</v>
      </c>
      <c r="H44" s="50"/>
      <c r="I44" s="27" t="s">
        <v>42</v>
      </c>
      <c r="J44" s="27" t="s">
        <v>42</v>
      </c>
      <c r="K44" s="27" t="s">
        <v>42</v>
      </c>
      <c r="L44" s="27" t="s">
        <v>42</v>
      </c>
      <c r="M44" s="27" t="s">
        <v>42</v>
      </c>
      <c r="N44" s="31">
        <f t="shared" si="5"/>
        <v>0</v>
      </c>
      <c r="O44" s="50"/>
      <c r="P44" s="27" t="s">
        <v>42</v>
      </c>
      <c r="Q44" s="27" t="s">
        <v>42</v>
      </c>
      <c r="R44" s="27" t="s">
        <v>42</v>
      </c>
      <c r="S44" s="27" t="s">
        <v>42</v>
      </c>
      <c r="T44" s="27" t="s">
        <v>42</v>
      </c>
      <c r="U44" s="28">
        <f t="shared" si="6"/>
        <v>0</v>
      </c>
    </row>
    <row r="45" spans="1:21" x14ac:dyDescent="0.25">
      <c r="A45" s="29" t="s">
        <v>11</v>
      </c>
      <c r="B45" s="27" t="s">
        <v>42</v>
      </c>
      <c r="C45" s="27" t="s">
        <v>42</v>
      </c>
      <c r="D45" s="27" t="s">
        <v>42</v>
      </c>
      <c r="E45" s="27" t="s">
        <v>42</v>
      </c>
      <c r="F45" s="27" t="s">
        <v>42</v>
      </c>
      <c r="G45" s="31">
        <f t="shared" si="4"/>
        <v>0</v>
      </c>
      <c r="H45" s="50"/>
      <c r="I45" s="27" t="s">
        <v>42</v>
      </c>
      <c r="J45" s="27" t="s">
        <v>42</v>
      </c>
      <c r="K45" s="27" t="s">
        <v>42</v>
      </c>
      <c r="L45" s="27" t="s">
        <v>42</v>
      </c>
      <c r="M45" s="27" t="s">
        <v>42</v>
      </c>
      <c r="N45" s="31">
        <f t="shared" si="5"/>
        <v>0</v>
      </c>
      <c r="O45" s="50"/>
      <c r="P45" s="27" t="s">
        <v>42</v>
      </c>
      <c r="Q45" s="27" t="s">
        <v>42</v>
      </c>
      <c r="R45" s="27" t="s">
        <v>42</v>
      </c>
      <c r="S45" s="27" t="s">
        <v>42</v>
      </c>
      <c r="T45" s="27" t="s">
        <v>42</v>
      </c>
      <c r="U45" s="28">
        <f t="shared" si="6"/>
        <v>0</v>
      </c>
    </row>
    <row r="46" spans="1:21" x14ac:dyDescent="0.25">
      <c r="A46" s="30" t="s">
        <v>12</v>
      </c>
      <c r="B46" s="27" t="s">
        <v>42</v>
      </c>
      <c r="C46" s="27" t="s">
        <v>42</v>
      </c>
      <c r="D46" s="27" t="s">
        <v>42</v>
      </c>
      <c r="E46" s="27" t="s">
        <v>42</v>
      </c>
      <c r="F46" s="27" t="s">
        <v>42</v>
      </c>
      <c r="G46" s="31">
        <f t="shared" si="4"/>
        <v>0</v>
      </c>
      <c r="H46" s="50"/>
      <c r="I46" s="27" t="s">
        <v>42</v>
      </c>
      <c r="J46" s="27" t="s">
        <v>42</v>
      </c>
      <c r="K46" s="27" t="s">
        <v>42</v>
      </c>
      <c r="L46" s="27" t="s">
        <v>42</v>
      </c>
      <c r="M46" s="27" t="s">
        <v>42</v>
      </c>
      <c r="N46" s="31">
        <f t="shared" si="5"/>
        <v>0</v>
      </c>
      <c r="O46" s="50"/>
      <c r="P46" s="27" t="s">
        <v>42</v>
      </c>
      <c r="Q46" s="27" t="s">
        <v>42</v>
      </c>
      <c r="R46" s="27" t="s">
        <v>42</v>
      </c>
      <c r="S46" s="27" t="s">
        <v>42</v>
      </c>
      <c r="T46" s="27" t="s">
        <v>42</v>
      </c>
      <c r="U46" s="28">
        <f t="shared" si="6"/>
        <v>0</v>
      </c>
    </row>
    <row r="47" spans="1:21" x14ac:dyDescent="0.25">
      <c r="A47" s="23" t="s">
        <v>13</v>
      </c>
      <c r="B47" s="28">
        <f>SUM(B35:B46)</f>
        <v>0</v>
      </c>
      <c r="C47" s="28">
        <f>SUM(C35:C46)</f>
        <v>0</v>
      </c>
      <c r="D47" s="28">
        <f>SUM(D35:D46)</f>
        <v>0</v>
      </c>
      <c r="E47" s="28">
        <f>SUM(E35:E46)</f>
        <v>0</v>
      </c>
      <c r="F47" s="28">
        <f>SUM(F35:F46)</f>
        <v>0</v>
      </c>
      <c r="G47" s="31">
        <f>SUM(B35:F46)</f>
        <v>0</v>
      </c>
      <c r="H47" s="50"/>
      <c r="I47" s="46">
        <f>SUM(I35:I46)</f>
        <v>0</v>
      </c>
      <c r="J47" s="28">
        <f>SUM(J35:J46)</f>
        <v>0</v>
      </c>
      <c r="K47" s="28">
        <f>SUM(K35:K46)</f>
        <v>0</v>
      </c>
      <c r="L47" s="28">
        <f>SUM(L35:L46)</f>
        <v>0</v>
      </c>
      <c r="M47" s="28">
        <f>SUM(M35:M46)</f>
        <v>0</v>
      </c>
      <c r="N47" s="31">
        <f>SUM(I35:M46)</f>
        <v>0</v>
      </c>
      <c r="O47" s="50"/>
      <c r="P47" s="46">
        <f>SUM(P35:P46)</f>
        <v>0</v>
      </c>
      <c r="Q47" s="28">
        <f>SUM(Q35:Q46)</f>
        <v>0</v>
      </c>
      <c r="R47" s="28">
        <f>SUM(R35:R46)</f>
        <v>0</v>
      </c>
      <c r="S47" s="28">
        <f>SUM(S35:S46)</f>
        <v>0</v>
      </c>
      <c r="T47" s="31">
        <f>SUM(T35:T46)</f>
        <v>0</v>
      </c>
      <c r="U47" s="28">
        <f>SUM(P35:T46)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CAC03-73BE-4EFB-9B1C-20BE693C2502}">
  <sheetPr codeName="Sheet2"/>
  <dimension ref="A1:AC51"/>
  <sheetViews>
    <sheetView workbookViewId="0">
      <selection activeCell="C2" sqref="C2"/>
    </sheetView>
  </sheetViews>
  <sheetFormatPr defaultRowHeight="15" x14ac:dyDescent="0.25"/>
  <cols>
    <col min="1" max="1" width="10.85546875" style="40" bestFit="1" customWidth="1"/>
    <col min="2" max="2" width="15.140625" style="40" bestFit="1" customWidth="1"/>
    <col min="3" max="3" width="9.42578125" style="40" bestFit="1" customWidth="1"/>
    <col min="4" max="4" width="9.140625" style="40"/>
    <col min="5" max="5" width="10.85546875" style="40" bestFit="1" customWidth="1"/>
    <col min="6" max="6" width="15.28515625" style="40" bestFit="1" customWidth="1"/>
    <col min="7" max="7" width="9.42578125" style="40" bestFit="1" customWidth="1"/>
    <col min="8" max="9" width="9.140625" style="40"/>
    <col min="10" max="10" width="10.7109375" style="40" bestFit="1" customWidth="1"/>
    <col min="11" max="11" width="9.140625" style="40"/>
    <col min="12" max="12" width="10.140625" style="40" bestFit="1" customWidth="1"/>
    <col min="13" max="13" width="10.85546875" style="40" bestFit="1" customWidth="1"/>
    <col min="14" max="16" width="9.140625" style="40"/>
    <col min="17" max="17" width="5.42578125" style="40" bestFit="1" customWidth="1"/>
    <col min="18" max="25" width="9.140625" style="40"/>
    <col min="26" max="26" width="10.7109375" style="40" bestFit="1" customWidth="1"/>
    <col min="27" max="27" width="9.140625" style="40"/>
    <col min="28" max="28" width="10.140625" style="40" bestFit="1" customWidth="1"/>
    <col min="29" max="29" width="10" style="40" bestFit="1" customWidth="1"/>
    <col min="30" max="16384" width="9.140625" style="40"/>
  </cols>
  <sheetData>
    <row r="1" spans="1:29" x14ac:dyDescent="0.25">
      <c r="A1" s="36" t="s">
        <v>40</v>
      </c>
      <c r="B1" s="36" t="s">
        <v>38</v>
      </c>
      <c r="E1" s="36" t="s">
        <v>41</v>
      </c>
      <c r="F1" s="36" t="s">
        <v>38</v>
      </c>
    </row>
    <row r="2" spans="1:29" x14ac:dyDescent="0.25">
      <c r="A2" s="23" t="s">
        <v>0</v>
      </c>
      <c r="B2" s="41" t="s">
        <v>44</v>
      </c>
      <c r="C2" s="41" t="s">
        <v>45</v>
      </c>
      <c r="E2" s="23" t="s">
        <v>0</v>
      </c>
      <c r="F2" s="41" t="s">
        <v>44</v>
      </c>
      <c r="G2" s="41" t="s">
        <v>45</v>
      </c>
    </row>
    <row r="3" spans="1:29" x14ac:dyDescent="0.25">
      <c r="A3" s="29" t="s">
        <v>1</v>
      </c>
      <c r="C3" s="51"/>
      <c r="E3" s="29" t="s">
        <v>1</v>
      </c>
      <c r="G3" s="51"/>
    </row>
    <row r="4" spans="1:29" x14ac:dyDescent="0.25">
      <c r="A4" s="29" t="s">
        <v>2</v>
      </c>
      <c r="C4" s="51"/>
      <c r="E4" s="29" t="s">
        <v>2</v>
      </c>
      <c r="G4" s="51"/>
      <c r="R4" s="52"/>
      <c r="S4" s="52"/>
      <c r="T4" s="52"/>
      <c r="Y4" s="52"/>
      <c r="Z4" s="52"/>
      <c r="AA4" s="52"/>
      <c r="AB4" s="52"/>
      <c r="AC4" s="52"/>
    </row>
    <row r="5" spans="1:29" x14ac:dyDescent="0.25">
      <c r="A5" s="29" t="s">
        <v>3</v>
      </c>
      <c r="C5" s="51"/>
      <c r="E5" s="29" t="s">
        <v>3</v>
      </c>
      <c r="G5" s="51"/>
    </row>
    <row r="6" spans="1:29" x14ac:dyDescent="0.25">
      <c r="A6" s="29" t="s">
        <v>4</v>
      </c>
      <c r="C6" s="51"/>
      <c r="E6" s="29" t="s">
        <v>4</v>
      </c>
      <c r="G6" s="51"/>
    </row>
    <row r="7" spans="1:29" x14ac:dyDescent="0.25">
      <c r="A7" s="29" t="s">
        <v>5</v>
      </c>
      <c r="C7" s="51"/>
      <c r="E7" s="29" t="s">
        <v>5</v>
      </c>
      <c r="G7" s="51"/>
    </row>
    <row r="8" spans="1:29" x14ac:dyDescent="0.25">
      <c r="A8" s="29" t="s">
        <v>6</v>
      </c>
      <c r="C8" s="51"/>
      <c r="E8" s="29" t="s">
        <v>6</v>
      </c>
      <c r="G8" s="51"/>
    </row>
    <row r="9" spans="1:29" x14ac:dyDescent="0.25">
      <c r="A9" s="29" t="s">
        <v>7</v>
      </c>
      <c r="C9" s="51"/>
      <c r="E9" s="29" t="s">
        <v>7</v>
      </c>
      <c r="G9" s="51"/>
    </row>
    <row r="10" spans="1:29" x14ac:dyDescent="0.25">
      <c r="A10" s="29" t="s">
        <v>8</v>
      </c>
      <c r="C10" s="51"/>
      <c r="E10" s="29" t="s">
        <v>8</v>
      </c>
      <c r="G10" s="51"/>
    </row>
    <row r="11" spans="1:29" x14ac:dyDescent="0.25">
      <c r="A11" s="29" t="s">
        <v>9</v>
      </c>
      <c r="C11" s="51"/>
      <c r="E11" s="29" t="s">
        <v>9</v>
      </c>
      <c r="G11" s="51"/>
    </row>
    <row r="12" spans="1:29" x14ac:dyDescent="0.25">
      <c r="A12" s="29" t="s">
        <v>10</v>
      </c>
      <c r="C12" s="51"/>
      <c r="E12" s="29" t="s">
        <v>10</v>
      </c>
      <c r="G12" s="51"/>
    </row>
    <row r="13" spans="1:29" x14ac:dyDescent="0.25">
      <c r="A13" s="29" t="s">
        <v>11</v>
      </c>
      <c r="C13" s="51"/>
      <c r="E13" s="29" t="s">
        <v>11</v>
      </c>
      <c r="G13" s="51"/>
    </row>
    <row r="14" spans="1:29" x14ac:dyDescent="0.25">
      <c r="A14" s="30" t="s">
        <v>12</v>
      </c>
      <c r="C14" s="51"/>
      <c r="E14" s="30" t="s">
        <v>12</v>
      </c>
      <c r="G14" s="51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</row>
    <row r="15" spans="1:29" x14ac:dyDescent="0.25">
      <c r="A15" s="23" t="s">
        <v>43</v>
      </c>
      <c r="B15" s="28"/>
      <c r="C15" s="28"/>
      <c r="D15" s="42"/>
      <c r="E15" s="23" t="s">
        <v>43</v>
      </c>
      <c r="F15" s="28"/>
      <c r="G15" s="28"/>
      <c r="H15" s="42"/>
      <c r="I15" s="42"/>
      <c r="J15" s="42"/>
      <c r="K15" s="53"/>
      <c r="M15" s="34"/>
      <c r="N15" s="42"/>
      <c r="O15" s="42"/>
      <c r="P15" s="42"/>
      <c r="Q15" s="53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</row>
    <row r="17" spans="1:29" x14ac:dyDescent="0.25">
      <c r="A17" s="36" t="s">
        <v>40</v>
      </c>
      <c r="B17" s="36" t="s">
        <v>39</v>
      </c>
      <c r="E17" s="36" t="s">
        <v>41</v>
      </c>
      <c r="F17" s="36" t="s">
        <v>39</v>
      </c>
    </row>
    <row r="18" spans="1:29" x14ac:dyDescent="0.25">
      <c r="A18" s="23" t="s">
        <v>0</v>
      </c>
      <c r="B18" s="41" t="s">
        <v>44</v>
      </c>
      <c r="C18" s="41" t="s">
        <v>45</v>
      </c>
      <c r="E18" s="23" t="s">
        <v>0</v>
      </c>
      <c r="F18" s="41" t="s">
        <v>44</v>
      </c>
      <c r="G18" s="41" t="s">
        <v>45</v>
      </c>
    </row>
    <row r="19" spans="1:29" x14ac:dyDescent="0.25">
      <c r="A19" s="29" t="s">
        <v>1</v>
      </c>
      <c r="C19" s="51"/>
      <c r="E19" s="29" t="s">
        <v>1</v>
      </c>
      <c r="G19" s="51"/>
    </row>
    <row r="20" spans="1:29" x14ac:dyDescent="0.25">
      <c r="A20" s="29" t="s">
        <v>2</v>
      </c>
      <c r="C20" s="51"/>
      <c r="E20" s="29" t="s">
        <v>2</v>
      </c>
      <c r="G20" s="51"/>
    </row>
    <row r="21" spans="1:29" x14ac:dyDescent="0.25">
      <c r="A21" s="29" t="s">
        <v>3</v>
      </c>
      <c r="C21" s="51"/>
      <c r="E21" s="29" t="s">
        <v>3</v>
      </c>
      <c r="G21" s="51"/>
    </row>
    <row r="22" spans="1:29" x14ac:dyDescent="0.25">
      <c r="A22" s="29" t="s">
        <v>4</v>
      </c>
      <c r="C22" s="51"/>
      <c r="E22" s="29" t="s">
        <v>4</v>
      </c>
      <c r="G22" s="51"/>
    </row>
    <row r="23" spans="1:29" x14ac:dyDescent="0.25">
      <c r="A23" s="29" t="s">
        <v>5</v>
      </c>
      <c r="C23" s="51"/>
      <c r="E23" s="29" t="s">
        <v>5</v>
      </c>
      <c r="G23" s="51"/>
      <c r="R23" s="52"/>
      <c r="S23" s="52"/>
      <c r="X23" s="52"/>
      <c r="AC23" s="52"/>
    </row>
    <row r="24" spans="1:29" x14ac:dyDescent="0.25">
      <c r="A24" s="29" t="s">
        <v>6</v>
      </c>
      <c r="C24" s="51"/>
      <c r="E24" s="29" t="s">
        <v>6</v>
      </c>
      <c r="G24" s="51"/>
    </row>
    <row r="25" spans="1:29" x14ac:dyDescent="0.25">
      <c r="A25" s="29" t="s">
        <v>7</v>
      </c>
      <c r="C25" s="51"/>
      <c r="E25" s="29" t="s">
        <v>7</v>
      </c>
      <c r="G25" s="51"/>
    </row>
    <row r="26" spans="1:29" x14ac:dyDescent="0.25">
      <c r="A26" s="29" t="s">
        <v>8</v>
      </c>
      <c r="C26" s="51"/>
      <c r="E26" s="29" t="s">
        <v>8</v>
      </c>
      <c r="G26" s="51"/>
    </row>
    <row r="27" spans="1:29" x14ac:dyDescent="0.25">
      <c r="A27" s="29" t="s">
        <v>9</v>
      </c>
      <c r="C27" s="51"/>
      <c r="E27" s="29" t="s">
        <v>9</v>
      </c>
      <c r="G27" s="51"/>
    </row>
    <row r="28" spans="1:29" x14ac:dyDescent="0.25">
      <c r="A28" s="29" t="s">
        <v>10</v>
      </c>
      <c r="C28" s="51"/>
      <c r="E28" s="29" t="s">
        <v>10</v>
      </c>
      <c r="G28" s="51"/>
    </row>
    <row r="29" spans="1:29" x14ac:dyDescent="0.25">
      <c r="A29" s="29" t="s">
        <v>11</v>
      </c>
      <c r="C29" s="51"/>
      <c r="E29" s="29" t="s">
        <v>11</v>
      </c>
      <c r="G29" s="51"/>
    </row>
    <row r="30" spans="1:29" x14ac:dyDescent="0.25">
      <c r="A30" s="30" t="s">
        <v>12</v>
      </c>
      <c r="C30" s="51"/>
      <c r="E30" s="30" t="s">
        <v>12</v>
      </c>
      <c r="G30" s="51"/>
    </row>
    <row r="31" spans="1:29" x14ac:dyDescent="0.25">
      <c r="A31" s="23" t="s">
        <v>43</v>
      </c>
      <c r="B31" s="28"/>
      <c r="C31" s="28"/>
      <c r="D31" s="42"/>
      <c r="E31" s="23" t="s">
        <v>43</v>
      </c>
      <c r="F31" s="28"/>
      <c r="G31" s="28"/>
      <c r="H31" s="42"/>
      <c r="I31" s="42"/>
      <c r="J31" s="42"/>
      <c r="K31" s="53"/>
      <c r="M31" s="34"/>
      <c r="N31" s="42"/>
      <c r="O31" s="42"/>
      <c r="P31" s="42"/>
      <c r="Q31" s="53"/>
    </row>
    <row r="33" spans="1:13" x14ac:dyDescent="0.25">
      <c r="A33" s="34" t="s">
        <v>40</v>
      </c>
      <c r="B33" s="40" t="s">
        <v>13</v>
      </c>
      <c r="E33" s="34" t="s">
        <v>41</v>
      </c>
      <c r="F33" s="34" t="s">
        <v>13</v>
      </c>
    </row>
    <row r="34" spans="1:13" x14ac:dyDescent="0.25">
      <c r="A34" s="23" t="s">
        <v>0</v>
      </c>
      <c r="B34" s="41" t="s">
        <v>44</v>
      </c>
      <c r="C34" s="41" t="s">
        <v>45</v>
      </c>
      <c r="E34" s="23" t="s">
        <v>0</v>
      </c>
      <c r="F34" s="41" t="s">
        <v>44</v>
      </c>
      <c r="G34" s="41" t="s">
        <v>45</v>
      </c>
    </row>
    <row r="35" spans="1:13" x14ac:dyDescent="0.25">
      <c r="A35" s="29" t="s">
        <v>1</v>
      </c>
      <c r="B35" s="27" t="s">
        <v>42</v>
      </c>
      <c r="C35" s="27" t="s">
        <v>42</v>
      </c>
      <c r="E35" s="29" t="s">
        <v>1</v>
      </c>
      <c r="F35" s="27" t="s">
        <v>42</v>
      </c>
      <c r="G35" s="27" t="s">
        <v>42</v>
      </c>
    </row>
    <row r="36" spans="1:13" x14ac:dyDescent="0.25">
      <c r="A36" s="29" t="s">
        <v>2</v>
      </c>
      <c r="B36" s="27" t="s">
        <v>42</v>
      </c>
      <c r="C36" s="27" t="s">
        <v>42</v>
      </c>
      <c r="E36" s="29" t="s">
        <v>2</v>
      </c>
      <c r="F36" s="27" t="s">
        <v>42</v>
      </c>
      <c r="G36" s="27" t="s">
        <v>42</v>
      </c>
    </row>
    <row r="37" spans="1:13" x14ac:dyDescent="0.25">
      <c r="A37" s="29" t="s">
        <v>3</v>
      </c>
      <c r="B37" s="27" t="s">
        <v>42</v>
      </c>
      <c r="C37" s="27" t="s">
        <v>42</v>
      </c>
      <c r="D37" s="52"/>
      <c r="E37" s="29" t="s">
        <v>3</v>
      </c>
      <c r="F37" s="27" t="s">
        <v>42</v>
      </c>
      <c r="G37" s="27" t="s">
        <v>42</v>
      </c>
      <c r="H37" s="52"/>
      <c r="I37" s="52"/>
      <c r="J37" s="52"/>
      <c r="K37" s="52"/>
      <c r="L37" s="52"/>
      <c r="M37" s="52"/>
    </row>
    <row r="38" spans="1:13" x14ac:dyDescent="0.25">
      <c r="A38" s="29" t="s">
        <v>4</v>
      </c>
      <c r="B38" s="27" t="s">
        <v>42</v>
      </c>
      <c r="C38" s="27" t="s">
        <v>42</v>
      </c>
      <c r="E38" s="29" t="s">
        <v>4</v>
      </c>
      <c r="F38" s="27" t="s">
        <v>42</v>
      </c>
      <c r="G38" s="27" t="s">
        <v>42</v>
      </c>
    </row>
    <row r="39" spans="1:13" x14ac:dyDescent="0.25">
      <c r="A39" s="29" t="s">
        <v>5</v>
      </c>
      <c r="B39" s="27" t="s">
        <v>42</v>
      </c>
      <c r="C39" s="27" t="s">
        <v>42</v>
      </c>
      <c r="E39" s="29" t="s">
        <v>5</v>
      </c>
      <c r="F39" s="27" t="s">
        <v>42</v>
      </c>
      <c r="G39" s="27" t="s">
        <v>42</v>
      </c>
    </row>
    <row r="40" spans="1:13" x14ac:dyDescent="0.25">
      <c r="A40" s="29" t="s">
        <v>6</v>
      </c>
      <c r="B40" s="27" t="s">
        <v>42</v>
      </c>
      <c r="C40" s="27" t="s">
        <v>42</v>
      </c>
      <c r="E40" s="29" t="s">
        <v>6</v>
      </c>
      <c r="F40" s="27" t="s">
        <v>42</v>
      </c>
      <c r="G40" s="27" t="s">
        <v>42</v>
      </c>
    </row>
    <row r="41" spans="1:13" x14ac:dyDescent="0.25">
      <c r="A41" s="29" t="s">
        <v>7</v>
      </c>
      <c r="B41" s="27" t="s">
        <v>42</v>
      </c>
      <c r="C41" s="27" t="s">
        <v>42</v>
      </c>
      <c r="E41" s="29" t="s">
        <v>7</v>
      </c>
      <c r="F41" s="27" t="s">
        <v>42</v>
      </c>
      <c r="G41" s="27" t="s">
        <v>42</v>
      </c>
    </row>
    <row r="42" spans="1:13" x14ac:dyDescent="0.25">
      <c r="A42" s="29" t="s">
        <v>8</v>
      </c>
      <c r="B42" s="27" t="s">
        <v>42</v>
      </c>
      <c r="C42" s="27" t="s">
        <v>42</v>
      </c>
      <c r="E42" s="29" t="s">
        <v>8</v>
      </c>
      <c r="F42" s="27" t="s">
        <v>42</v>
      </c>
      <c r="G42" s="27" t="s">
        <v>42</v>
      </c>
    </row>
    <row r="43" spans="1:13" x14ac:dyDescent="0.25">
      <c r="A43" s="29" t="s">
        <v>9</v>
      </c>
      <c r="B43" s="27" t="s">
        <v>42</v>
      </c>
      <c r="C43" s="27" t="s">
        <v>42</v>
      </c>
      <c r="D43" s="52"/>
      <c r="E43" s="29" t="s">
        <v>9</v>
      </c>
      <c r="F43" s="27" t="s">
        <v>42</v>
      </c>
      <c r="G43" s="27" t="s">
        <v>42</v>
      </c>
      <c r="H43" s="52"/>
      <c r="I43" s="52"/>
      <c r="J43" s="52"/>
      <c r="K43" s="52"/>
      <c r="L43" s="52"/>
      <c r="M43" s="52"/>
    </row>
    <row r="44" spans="1:13" x14ac:dyDescent="0.25">
      <c r="A44" s="29" t="s">
        <v>10</v>
      </c>
      <c r="B44" s="27" t="s">
        <v>42</v>
      </c>
      <c r="C44" s="27" t="s">
        <v>42</v>
      </c>
      <c r="E44" s="29" t="s">
        <v>10</v>
      </c>
      <c r="F44" s="27" t="s">
        <v>42</v>
      </c>
      <c r="G44" s="27" t="s">
        <v>42</v>
      </c>
    </row>
    <row r="45" spans="1:13" x14ac:dyDescent="0.25">
      <c r="A45" s="29" t="s">
        <v>11</v>
      </c>
      <c r="B45" s="27" t="s">
        <v>42</v>
      </c>
      <c r="C45" s="27" t="s">
        <v>42</v>
      </c>
      <c r="E45" s="29" t="s">
        <v>11</v>
      </c>
      <c r="F45" s="27" t="s">
        <v>42</v>
      </c>
      <c r="G45" s="27" t="s">
        <v>42</v>
      </c>
    </row>
    <row r="46" spans="1:13" x14ac:dyDescent="0.25">
      <c r="A46" s="30" t="s">
        <v>12</v>
      </c>
      <c r="B46" s="27" t="s">
        <v>42</v>
      </c>
      <c r="C46" s="27" t="s">
        <v>42</v>
      </c>
      <c r="E46" s="30" t="s">
        <v>12</v>
      </c>
      <c r="F46" s="27" t="s">
        <v>42</v>
      </c>
      <c r="G46" s="27" t="s">
        <v>42</v>
      </c>
    </row>
    <row r="47" spans="1:13" x14ac:dyDescent="0.25">
      <c r="A47" s="23" t="s">
        <v>43</v>
      </c>
      <c r="B47" s="27" t="s">
        <v>42</v>
      </c>
      <c r="C47" s="27" t="s">
        <v>42</v>
      </c>
      <c r="E47" s="23" t="s">
        <v>43</v>
      </c>
      <c r="F47" s="27" t="s">
        <v>42</v>
      </c>
      <c r="G47" s="27" t="s">
        <v>42</v>
      </c>
    </row>
    <row r="51" spans="1:13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</row>
  </sheetData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3F503-EDEC-4F62-9D0A-AE5564D3AA19}">
  <sheetPr codeName="Sheet4"/>
  <dimension ref="A2:F2"/>
  <sheetViews>
    <sheetView tabSelected="1" workbookViewId="0">
      <selection activeCell="D26" sqref="D26"/>
    </sheetView>
  </sheetViews>
  <sheetFormatPr defaultRowHeight="15" x14ac:dyDescent="0.25"/>
  <cols>
    <col min="1" max="1" width="22" bestFit="1" customWidth="1"/>
    <col min="2" max="2" width="12" bestFit="1" customWidth="1"/>
    <col min="3" max="3" width="15.85546875" bestFit="1" customWidth="1"/>
    <col min="4" max="4" width="16.140625" bestFit="1" customWidth="1"/>
    <col min="5" max="5" width="14.5703125" bestFit="1" customWidth="1"/>
    <col min="6" max="6" width="35.5703125" bestFit="1" customWidth="1"/>
  </cols>
  <sheetData>
    <row r="2" spans="1:6" x14ac:dyDescent="0.25">
      <c r="A2" s="54"/>
      <c r="B2" s="54"/>
      <c r="C2" s="54"/>
      <c r="D2" s="54"/>
      <c r="E2" s="54"/>
      <c r="F2" s="54"/>
    </row>
  </sheetData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tinput">
                <anchor moveWithCells="1" sizeWithCells="1">
                  <from>
                    <xdr:col>0</xdr:col>
                    <xdr:colOff>2105025</xdr:colOff>
                    <xdr:row>9</xdr:row>
                    <xdr:rowOff>9525</xdr:rowOff>
                  </from>
                  <to>
                    <xdr:col>2</xdr:col>
                    <xdr:colOff>1047750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Maker">
                <anchor moveWithCells="1" sizeWithCells="1">
                  <from>
                    <xdr:col>3</xdr:col>
                    <xdr:colOff>1057275</xdr:colOff>
                    <xdr:row>8</xdr:row>
                    <xdr:rowOff>171450</xdr:rowOff>
                  </from>
                  <to>
                    <xdr:col>5</xdr:col>
                    <xdr:colOff>828675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8FE35-FDD9-4AFB-B7F8-0CEE20D60532}">
  <sheetPr codeName="Sheet40"/>
  <dimension ref="A1:F1224"/>
  <sheetViews>
    <sheetView workbookViewId="0">
      <selection sqref="A1:XFD1048576"/>
    </sheetView>
  </sheetViews>
  <sheetFormatPr defaultRowHeight="15" x14ac:dyDescent="0.25"/>
  <sheetData>
    <row r="1" spans="1:6" x14ac:dyDescent="0.25">
      <c r="A1" t="s">
        <v>46</v>
      </c>
      <c r="B1" t="s">
        <v>47</v>
      </c>
      <c r="C1" t="s">
        <v>48</v>
      </c>
      <c r="D1" t="s">
        <v>49</v>
      </c>
      <c r="E1" t="s">
        <v>50</v>
      </c>
      <c r="F1" t="s">
        <v>51</v>
      </c>
    </row>
    <row r="2" spans="1:6" x14ac:dyDescent="0.25">
      <c r="A2" t="s">
        <v>52</v>
      </c>
      <c r="B2" t="s">
        <v>53</v>
      </c>
      <c r="C2" t="s">
        <v>54</v>
      </c>
      <c r="D2" t="s">
        <v>54</v>
      </c>
      <c r="E2" t="s">
        <v>55</v>
      </c>
      <c r="F2" t="s">
        <v>56</v>
      </c>
    </row>
    <row r="4" spans="1:6" x14ac:dyDescent="0.25">
      <c r="A4" t="s">
        <v>57</v>
      </c>
      <c r="B4" t="s">
        <v>58</v>
      </c>
      <c r="C4" t="s">
        <v>59</v>
      </c>
      <c r="D4" t="s">
        <v>60</v>
      </c>
      <c r="E4" t="s">
        <v>61</v>
      </c>
    </row>
    <row r="5" spans="1:6" x14ac:dyDescent="0.25">
      <c r="A5">
        <v>1</v>
      </c>
      <c r="B5">
        <v>2017</v>
      </c>
      <c r="C5" s="57">
        <v>25957.26</v>
      </c>
      <c r="D5" s="57">
        <v>814.08</v>
      </c>
      <c r="E5" t="s">
        <v>62</v>
      </c>
    </row>
    <row r="6" spans="1:6" x14ac:dyDescent="0.25">
      <c r="A6">
        <v>2</v>
      </c>
      <c r="B6">
        <v>2017</v>
      </c>
      <c r="C6" s="57">
        <v>24900.66</v>
      </c>
      <c r="D6" s="57">
        <v>2741.7</v>
      </c>
      <c r="E6" t="s">
        <v>62</v>
      </c>
    </row>
    <row r="7" spans="1:6" x14ac:dyDescent="0.25">
      <c r="A7">
        <v>3</v>
      </c>
      <c r="B7">
        <v>2017</v>
      </c>
      <c r="C7" s="57">
        <v>25131.33</v>
      </c>
      <c r="D7" s="57">
        <v>3760.39</v>
      </c>
      <c r="E7" t="s">
        <v>63</v>
      </c>
    </row>
    <row r="8" spans="1:6" x14ac:dyDescent="0.25">
      <c r="A8">
        <v>4</v>
      </c>
      <c r="B8">
        <v>2017</v>
      </c>
      <c r="C8" s="57">
        <v>32798.160000000003</v>
      </c>
      <c r="D8" s="57">
        <v>166.77</v>
      </c>
      <c r="E8" t="s">
        <v>62</v>
      </c>
    </row>
    <row r="9" spans="1:6" x14ac:dyDescent="0.25">
      <c r="A9">
        <v>5</v>
      </c>
      <c r="B9">
        <v>2017</v>
      </c>
      <c r="C9" s="57">
        <v>28977.759999999998</v>
      </c>
      <c r="D9" s="57">
        <v>4735.03</v>
      </c>
      <c r="E9" t="s">
        <v>62</v>
      </c>
    </row>
    <row r="10" spans="1:6" x14ac:dyDescent="0.25">
      <c r="A10">
        <v>6</v>
      </c>
      <c r="B10">
        <v>2017</v>
      </c>
      <c r="C10" s="57">
        <v>34147.300000000003</v>
      </c>
      <c r="D10" s="57">
        <v>1.07</v>
      </c>
      <c r="E10" t="s">
        <v>62</v>
      </c>
    </row>
    <row r="11" spans="1:6" x14ac:dyDescent="0.25">
      <c r="A11">
        <v>7</v>
      </c>
      <c r="B11">
        <v>2017</v>
      </c>
      <c r="C11" s="57">
        <v>36275.61</v>
      </c>
      <c r="D11" s="57">
        <v>321.60000000000002</v>
      </c>
      <c r="E11" t="s">
        <v>62</v>
      </c>
    </row>
    <row r="12" spans="1:6" x14ac:dyDescent="0.25">
      <c r="A12">
        <v>8</v>
      </c>
      <c r="B12">
        <v>2017</v>
      </c>
      <c r="C12" s="57">
        <v>34422.92</v>
      </c>
      <c r="D12" s="57">
        <v>3585.74</v>
      </c>
      <c r="E12" t="s">
        <v>62</v>
      </c>
    </row>
    <row r="13" spans="1:6" x14ac:dyDescent="0.25">
      <c r="A13">
        <v>9</v>
      </c>
      <c r="B13">
        <v>2017</v>
      </c>
      <c r="C13" s="57">
        <v>31343.54</v>
      </c>
      <c r="D13" s="57">
        <v>7018.98</v>
      </c>
      <c r="E13" t="s">
        <v>62</v>
      </c>
    </row>
    <row r="14" spans="1:6" x14ac:dyDescent="0.25">
      <c r="A14">
        <v>10</v>
      </c>
      <c r="B14">
        <v>2017</v>
      </c>
      <c r="C14" s="57">
        <v>38541.620000000003</v>
      </c>
      <c r="D14" s="57">
        <v>110.38</v>
      </c>
      <c r="E14" t="s">
        <v>62</v>
      </c>
    </row>
    <row r="15" spans="1:6" x14ac:dyDescent="0.25">
      <c r="A15">
        <v>11</v>
      </c>
      <c r="B15">
        <v>2017</v>
      </c>
      <c r="C15" s="57">
        <v>38260.980000000003</v>
      </c>
      <c r="D15" s="57">
        <v>1167.7</v>
      </c>
      <c r="E15" t="s">
        <v>63</v>
      </c>
    </row>
    <row r="16" spans="1:6" x14ac:dyDescent="0.25">
      <c r="A16">
        <v>12</v>
      </c>
      <c r="B16">
        <v>2017</v>
      </c>
      <c r="C16" s="57">
        <v>10304.459999999999</v>
      </c>
      <c r="D16" s="57">
        <v>32539.84</v>
      </c>
      <c r="E16" t="s">
        <v>62</v>
      </c>
    </row>
    <row r="17" spans="1:5" x14ac:dyDescent="0.25">
      <c r="A17">
        <v>13</v>
      </c>
      <c r="B17">
        <v>2017</v>
      </c>
      <c r="C17" s="57">
        <v>654.30999999999995</v>
      </c>
      <c r="D17" s="57">
        <v>43018.84</v>
      </c>
      <c r="E17" t="s">
        <v>62</v>
      </c>
    </row>
    <row r="18" spans="1:5" x14ac:dyDescent="0.25">
      <c r="A18">
        <v>14</v>
      </c>
      <c r="B18">
        <v>2017</v>
      </c>
      <c r="C18" s="57">
        <v>46491.41</v>
      </c>
      <c r="D18" s="57">
        <v>348.63</v>
      </c>
      <c r="E18" t="s">
        <v>62</v>
      </c>
    </row>
    <row r="19" spans="1:5" x14ac:dyDescent="0.25">
      <c r="A19">
        <v>15</v>
      </c>
      <c r="B19">
        <v>2017</v>
      </c>
      <c r="C19" s="57">
        <v>52831.3</v>
      </c>
      <c r="D19" s="57">
        <v>2144.48</v>
      </c>
      <c r="E19" t="s">
        <v>62</v>
      </c>
    </row>
    <row r="20" spans="1:5" x14ac:dyDescent="0.25">
      <c r="A20">
        <v>16</v>
      </c>
      <c r="B20">
        <v>2017</v>
      </c>
      <c r="C20" s="57">
        <v>55485.16</v>
      </c>
      <c r="D20" s="57">
        <v>104.5</v>
      </c>
      <c r="E20" t="s">
        <v>62</v>
      </c>
    </row>
    <row r="21" spans="1:5" x14ac:dyDescent="0.25">
      <c r="A21">
        <v>17</v>
      </c>
      <c r="B21">
        <v>2017</v>
      </c>
      <c r="C21" s="57">
        <v>58924.46</v>
      </c>
      <c r="D21" s="57">
        <v>800.09</v>
      </c>
      <c r="E21" t="s">
        <v>62</v>
      </c>
    </row>
    <row r="22" spans="1:5" x14ac:dyDescent="0.25">
      <c r="A22">
        <v>18</v>
      </c>
      <c r="B22">
        <v>2017</v>
      </c>
      <c r="C22" s="57">
        <v>61859.01</v>
      </c>
      <c r="D22" s="57">
        <v>0</v>
      </c>
      <c r="E22" t="s">
        <v>63</v>
      </c>
    </row>
    <row r="23" spans="1:5" x14ac:dyDescent="0.25">
      <c r="A23">
        <v>19</v>
      </c>
      <c r="B23">
        <v>2017</v>
      </c>
      <c r="C23" s="57">
        <v>62695.5</v>
      </c>
      <c r="D23" s="57">
        <v>601.22</v>
      </c>
      <c r="E23" t="s">
        <v>62</v>
      </c>
    </row>
    <row r="24" spans="1:5" x14ac:dyDescent="0.25">
      <c r="A24">
        <v>20</v>
      </c>
      <c r="B24">
        <v>2017</v>
      </c>
      <c r="C24" s="57">
        <v>52628.59</v>
      </c>
      <c r="D24" s="57">
        <v>13835.75</v>
      </c>
      <c r="E24" t="s">
        <v>62</v>
      </c>
    </row>
    <row r="25" spans="1:5" x14ac:dyDescent="0.25">
      <c r="A25">
        <v>21</v>
      </c>
      <c r="B25">
        <v>2017</v>
      </c>
      <c r="C25" s="57">
        <v>42325.68</v>
      </c>
      <c r="D25" s="57">
        <v>26187.17</v>
      </c>
      <c r="E25" t="s">
        <v>62</v>
      </c>
    </row>
    <row r="26" spans="1:5" x14ac:dyDescent="0.25">
      <c r="A26">
        <v>22</v>
      </c>
      <c r="B26">
        <v>2017</v>
      </c>
      <c r="C26" s="57">
        <v>29394.91</v>
      </c>
      <c r="D26" s="57">
        <v>51711.72</v>
      </c>
      <c r="E26" t="s">
        <v>62</v>
      </c>
    </row>
    <row r="27" spans="1:5" x14ac:dyDescent="0.25">
      <c r="A27">
        <v>23</v>
      </c>
      <c r="B27">
        <v>2017</v>
      </c>
      <c r="C27" s="57">
        <v>75158.929999999993</v>
      </c>
      <c r="D27" s="57">
        <v>5994.54</v>
      </c>
      <c r="E27" t="s">
        <v>63</v>
      </c>
    </row>
    <row r="28" spans="1:5" x14ac:dyDescent="0.25">
      <c r="A28">
        <v>24</v>
      </c>
      <c r="B28">
        <v>2017</v>
      </c>
      <c r="C28" s="57">
        <v>21888.04</v>
      </c>
      <c r="D28" s="57">
        <v>69853.31</v>
      </c>
      <c r="E28" t="s">
        <v>63</v>
      </c>
    </row>
    <row r="29" spans="1:5" x14ac:dyDescent="0.25">
      <c r="A29">
        <v>25</v>
      </c>
      <c r="B29">
        <v>2017</v>
      </c>
      <c r="C29" s="57">
        <v>61762.57</v>
      </c>
      <c r="D29" s="57">
        <v>38092.480000000003</v>
      </c>
      <c r="E29" t="s">
        <v>62</v>
      </c>
    </row>
    <row r="30" spans="1:5" x14ac:dyDescent="0.25">
      <c r="A30">
        <v>26</v>
      </c>
      <c r="B30">
        <v>2017</v>
      </c>
      <c r="C30" s="57">
        <v>100257.45</v>
      </c>
      <c r="D30" s="57">
        <v>91.03</v>
      </c>
      <c r="E30" t="s">
        <v>63</v>
      </c>
    </row>
    <row r="31" spans="1:5" x14ac:dyDescent="0.25">
      <c r="A31">
        <v>27</v>
      </c>
      <c r="B31">
        <v>2017</v>
      </c>
      <c r="C31" s="57">
        <v>67326.59</v>
      </c>
      <c r="D31" s="57">
        <v>35935.57</v>
      </c>
      <c r="E31" t="s">
        <v>63</v>
      </c>
    </row>
    <row r="32" spans="1:5" x14ac:dyDescent="0.25">
      <c r="A32">
        <v>28</v>
      </c>
      <c r="B32">
        <v>2017</v>
      </c>
      <c r="C32" s="57">
        <v>116287.24</v>
      </c>
      <c r="D32" s="57">
        <v>1962.93</v>
      </c>
      <c r="E32" t="s">
        <v>62</v>
      </c>
    </row>
    <row r="33" spans="1:5" x14ac:dyDescent="0.25">
      <c r="A33">
        <v>29</v>
      </c>
      <c r="B33">
        <v>2017</v>
      </c>
      <c r="C33" s="57">
        <v>84778.11</v>
      </c>
      <c r="D33" s="57">
        <v>45860.66</v>
      </c>
      <c r="E33" t="s">
        <v>62</v>
      </c>
    </row>
    <row r="34" spans="1:5" x14ac:dyDescent="0.25">
      <c r="A34">
        <v>30</v>
      </c>
      <c r="B34">
        <v>2017</v>
      </c>
      <c r="C34" s="57">
        <v>104760.88</v>
      </c>
      <c r="D34" s="57">
        <v>27412.67</v>
      </c>
      <c r="E34" t="s">
        <v>62</v>
      </c>
    </row>
    <row r="35" spans="1:5" x14ac:dyDescent="0.25">
      <c r="A35">
        <v>31</v>
      </c>
      <c r="B35">
        <v>2017</v>
      </c>
      <c r="C35" s="57">
        <v>165306.26999999999</v>
      </c>
      <c r="D35" s="57">
        <v>3079.59</v>
      </c>
      <c r="E35" t="s">
        <v>62</v>
      </c>
    </row>
    <row r="36" spans="1:5" x14ac:dyDescent="0.25">
      <c r="A36">
        <v>32</v>
      </c>
      <c r="B36">
        <v>2017</v>
      </c>
      <c r="C36" s="57">
        <v>351365.32</v>
      </c>
      <c r="D36" s="57">
        <v>677.9</v>
      </c>
      <c r="E36" t="s">
        <v>63</v>
      </c>
    </row>
    <row r="37" spans="1:5" x14ac:dyDescent="0.25">
      <c r="A37">
        <v>33</v>
      </c>
      <c r="B37">
        <v>2017</v>
      </c>
      <c r="C37" s="57">
        <v>534242.69999999995</v>
      </c>
      <c r="D37" s="57">
        <v>6361.58</v>
      </c>
      <c r="E37" t="s">
        <v>62</v>
      </c>
    </row>
    <row r="38" spans="1:5" x14ac:dyDescent="0.25">
      <c r="A38">
        <v>34</v>
      </c>
      <c r="B38">
        <v>2017</v>
      </c>
      <c r="C38" s="57">
        <v>681679.78</v>
      </c>
      <c r="D38" s="57">
        <v>86546.71</v>
      </c>
      <c r="E38" t="s">
        <v>62</v>
      </c>
    </row>
    <row r="39" spans="1:5" x14ac:dyDescent="0.25">
      <c r="A39">
        <v>1</v>
      </c>
      <c r="B39">
        <v>2018</v>
      </c>
      <c r="C39" s="57">
        <v>12071.56</v>
      </c>
      <c r="D39" s="57">
        <v>13048.59</v>
      </c>
      <c r="E39" t="s">
        <v>62</v>
      </c>
    </row>
    <row r="40" spans="1:5" x14ac:dyDescent="0.25">
      <c r="A40">
        <v>2</v>
      </c>
      <c r="B40">
        <v>2018</v>
      </c>
      <c r="C40" s="57">
        <v>13341.86</v>
      </c>
      <c r="D40" s="57">
        <v>11782.8</v>
      </c>
      <c r="E40" t="s">
        <v>63</v>
      </c>
    </row>
    <row r="41" spans="1:5" x14ac:dyDescent="0.25">
      <c r="A41">
        <v>3</v>
      </c>
      <c r="B41">
        <v>2018</v>
      </c>
      <c r="C41" s="57">
        <v>9954.26</v>
      </c>
      <c r="D41" s="57">
        <v>15975.18</v>
      </c>
      <c r="E41" t="s">
        <v>62</v>
      </c>
    </row>
    <row r="42" spans="1:5" x14ac:dyDescent="0.25">
      <c r="A42">
        <v>4</v>
      </c>
      <c r="B42">
        <v>2018</v>
      </c>
      <c r="C42" s="57">
        <v>25048.04</v>
      </c>
      <c r="D42" s="57">
        <v>2505.0100000000002</v>
      </c>
      <c r="E42" t="s">
        <v>62</v>
      </c>
    </row>
    <row r="43" spans="1:5" x14ac:dyDescent="0.25">
      <c r="A43">
        <v>5</v>
      </c>
      <c r="B43">
        <v>2018</v>
      </c>
      <c r="C43" s="57">
        <v>26232.29</v>
      </c>
      <c r="D43" s="57">
        <v>1390.68</v>
      </c>
      <c r="E43" t="s">
        <v>63</v>
      </c>
    </row>
    <row r="44" spans="1:5" x14ac:dyDescent="0.25">
      <c r="A44">
        <v>6</v>
      </c>
      <c r="B44">
        <v>2018</v>
      </c>
      <c r="C44" s="57">
        <v>9847.84</v>
      </c>
      <c r="D44" s="57">
        <v>18851.97</v>
      </c>
      <c r="E44" t="s">
        <v>62</v>
      </c>
    </row>
    <row r="45" spans="1:5" x14ac:dyDescent="0.25">
      <c r="A45">
        <v>7</v>
      </c>
      <c r="B45">
        <v>2018</v>
      </c>
      <c r="C45" s="57">
        <v>30281.66</v>
      </c>
      <c r="D45" s="57">
        <v>51.9</v>
      </c>
      <c r="E45" t="s">
        <v>63</v>
      </c>
    </row>
    <row r="46" spans="1:5" x14ac:dyDescent="0.25">
      <c r="A46">
        <v>8</v>
      </c>
      <c r="B46">
        <v>2018</v>
      </c>
      <c r="C46" s="57">
        <v>30916.06</v>
      </c>
      <c r="D46" s="57">
        <v>18.75</v>
      </c>
      <c r="E46" t="s">
        <v>62</v>
      </c>
    </row>
    <row r="47" spans="1:5" x14ac:dyDescent="0.25">
      <c r="A47">
        <v>9</v>
      </c>
      <c r="B47">
        <v>2018</v>
      </c>
      <c r="C47" s="57">
        <v>31957.24</v>
      </c>
      <c r="D47" s="57">
        <v>98.17</v>
      </c>
      <c r="E47" t="s">
        <v>62</v>
      </c>
    </row>
    <row r="48" spans="1:5" x14ac:dyDescent="0.25">
      <c r="A48">
        <v>10</v>
      </c>
      <c r="B48">
        <v>2018</v>
      </c>
      <c r="C48" s="57">
        <v>33081</v>
      </c>
      <c r="D48" s="57">
        <v>0</v>
      </c>
      <c r="E48" t="s">
        <v>63</v>
      </c>
    </row>
    <row r="49" spans="1:5" x14ac:dyDescent="0.25">
      <c r="A49">
        <v>11</v>
      </c>
      <c r="B49">
        <v>2018</v>
      </c>
      <c r="C49" s="57">
        <v>34662.629999999997</v>
      </c>
      <c r="D49" s="57">
        <v>703.75</v>
      </c>
      <c r="E49" t="s">
        <v>62</v>
      </c>
    </row>
    <row r="50" spans="1:5" x14ac:dyDescent="0.25">
      <c r="A50">
        <v>12</v>
      </c>
      <c r="B50">
        <v>2018</v>
      </c>
      <c r="C50" s="57">
        <v>37534.120000000003</v>
      </c>
      <c r="D50" s="57">
        <v>251.28</v>
      </c>
      <c r="E50" t="s">
        <v>62</v>
      </c>
    </row>
    <row r="51" spans="1:5" x14ac:dyDescent="0.25">
      <c r="A51">
        <v>13</v>
      </c>
      <c r="B51">
        <v>2018</v>
      </c>
      <c r="C51" s="57">
        <v>39135.82</v>
      </c>
      <c r="D51" s="57">
        <v>125.61</v>
      </c>
      <c r="E51" t="s">
        <v>62</v>
      </c>
    </row>
    <row r="52" spans="1:5" x14ac:dyDescent="0.25">
      <c r="A52">
        <v>14</v>
      </c>
      <c r="B52">
        <v>2018</v>
      </c>
      <c r="C52" s="57">
        <v>39573.24</v>
      </c>
      <c r="D52" s="57">
        <v>456.75</v>
      </c>
      <c r="E52" t="s">
        <v>62</v>
      </c>
    </row>
    <row r="53" spans="1:5" x14ac:dyDescent="0.25">
      <c r="A53">
        <v>15</v>
      </c>
      <c r="B53">
        <v>2018</v>
      </c>
      <c r="C53" s="57">
        <v>40984.92</v>
      </c>
      <c r="D53" s="57">
        <v>276.3</v>
      </c>
      <c r="E53" t="s">
        <v>62</v>
      </c>
    </row>
    <row r="54" spans="1:5" x14ac:dyDescent="0.25">
      <c r="A54">
        <v>16</v>
      </c>
      <c r="B54">
        <v>2018</v>
      </c>
      <c r="C54" s="57">
        <v>43504.36</v>
      </c>
      <c r="D54" s="57">
        <v>64.349999999999994</v>
      </c>
      <c r="E54" t="s">
        <v>63</v>
      </c>
    </row>
    <row r="55" spans="1:5" x14ac:dyDescent="0.25">
      <c r="A55">
        <v>17</v>
      </c>
      <c r="B55">
        <v>2018</v>
      </c>
      <c r="C55" s="57">
        <v>42295.81</v>
      </c>
      <c r="D55" s="57">
        <v>1566.27</v>
      </c>
      <c r="E55" t="s">
        <v>62</v>
      </c>
    </row>
    <row r="56" spans="1:5" x14ac:dyDescent="0.25">
      <c r="A56">
        <v>18</v>
      </c>
      <c r="B56">
        <v>2018</v>
      </c>
      <c r="C56" s="57">
        <v>44530.85</v>
      </c>
      <c r="D56" s="57">
        <v>67.650000000000006</v>
      </c>
      <c r="E56" t="s">
        <v>62</v>
      </c>
    </row>
    <row r="57" spans="1:5" x14ac:dyDescent="0.25">
      <c r="A57">
        <v>19</v>
      </c>
      <c r="B57">
        <v>2018</v>
      </c>
      <c r="C57" s="57">
        <v>43003.4</v>
      </c>
      <c r="D57" s="57">
        <v>3373.99</v>
      </c>
      <c r="E57" t="s">
        <v>62</v>
      </c>
    </row>
    <row r="58" spans="1:5" x14ac:dyDescent="0.25">
      <c r="A58">
        <v>20</v>
      </c>
      <c r="B58">
        <v>2018</v>
      </c>
      <c r="C58" s="57">
        <v>3028.54</v>
      </c>
      <c r="D58" s="57">
        <v>43546.43</v>
      </c>
      <c r="E58" t="s">
        <v>62</v>
      </c>
    </row>
    <row r="59" spans="1:5" x14ac:dyDescent="0.25">
      <c r="A59">
        <v>21</v>
      </c>
      <c r="B59">
        <v>2018</v>
      </c>
      <c r="C59" s="57">
        <v>48304.56</v>
      </c>
      <c r="D59" s="57">
        <v>0</v>
      </c>
      <c r="E59" t="s">
        <v>62</v>
      </c>
    </row>
    <row r="60" spans="1:5" x14ac:dyDescent="0.25">
      <c r="A60">
        <v>22</v>
      </c>
      <c r="B60">
        <v>2018</v>
      </c>
      <c r="C60" s="57">
        <v>1460.75</v>
      </c>
      <c r="D60" s="57">
        <v>49838.57</v>
      </c>
      <c r="E60" t="s">
        <v>62</v>
      </c>
    </row>
    <row r="61" spans="1:5" x14ac:dyDescent="0.25">
      <c r="A61">
        <v>23</v>
      </c>
      <c r="B61">
        <v>2018</v>
      </c>
      <c r="C61" s="57">
        <v>52758.720000000001</v>
      </c>
      <c r="D61" s="57">
        <v>182.62</v>
      </c>
      <c r="E61" t="s">
        <v>62</v>
      </c>
    </row>
    <row r="62" spans="1:5" x14ac:dyDescent="0.25">
      <c r="A62">
        <v>24</v>
      </c>
      <c r="B62">
        <v>2018</v>
      </c>
      <c r="C62" s="57">
        <v>35790.07</v>
      </c>
      <c r="D62" s="57">
        <v>17303.39</v>
      </c>
      <c r="E62" t="s">
        <v>62</v>
      </c>
    </row>
    <row r="63" spans="1:5" x14ac:dyDescent="0.25">
      <c r="A63">
        <v>25</v>
      </c>
      <c r="B63">
        <v>2018</v>
      </c>
      <c r="C63" s="57">
        <v>475.82</v>
      </c>
      <c r="D63" s="57">
        <v>54164.800000000003</v>
      </c>
      <c r="E63" t="s">
        <v>63</v>
      </c>
    </row>
    <row r="64" spans="1:5" x14ac:dyDescent="0.25">
      <c r="A64">
        <v>26</v>
      </c>
      <c r="B64">
        <v>2018</v>
      </c>
      <c r="C64" s="57">
        <v>4170.92</v>
      </c>
      <c r="D64" s="57">
        <v>52805.14</v>
      </c>
      <c r="E64" t="s">
        <v>62</v>
      </c>
    </row>
    <row r="65" spans="1:5" x14ac:dyDescent="0.25">
      <c r="A65">
        <v>27</v>
      </c>
      <c r="B65">
        <v>2018</v>
      </c>
      <c r="C65" s="57">
        <v>15892.47</v>
      </c>
      <c r="D65" s="57">
        <v>56414.34</v>
      </c>
      <c r="E65" t="s">
        <v>62</v>
      </c>
    </row>
    <row r="66" spans="1:5" x14ac:dyDescent="0.25">
      <c r="A66">
        <v>28</v>
      </c>
      <c r="B66">
        <v>2018</v>
      </c>
      <c r="C66" s="57">
        <v>76054.91</v>
      </c>
      <c r="D66" s="57">
        <v>2796.44</v>
      </c>
      <c r="E66" t="s">
        <v>62</v>
      </c>
    </row>
    <row r="67" spans="1:5" x14ac:dyDescent="0.25">
      <c r="A67">
        <v>29</v>
      </c>
      <c r="B67">
        <v>2018</v>
      </c>
      <c r="C67" s="57">
        <v>71304.58</v>
      </c>
      <c r="D67" s="57">
        <v>18463.919999999998</v>
      </c>
      <c r="E67" t="s">
        <v>62</v>
      </c>
    </row>
    <row r="68" spans="1:5" x14ac:dyDescent="0.25">
      <c r="A68">
        <v>30</v>
      </c>
      <c r="B68">
        <v>2018</v>
      </c>
      <c r="C68" s="57">
        <v>92773.32</v>
      </c>
      <c r="D68" s="57">
        <v>2161.59</v>
      </c>
      <c r="E68" t="s">
        <v>62</v>
      </c>
    </row>
    <row r="69" spans="1:5" x14ac:dyDescent="0.25">
      <c r="A69">
        <v>31</v>
      </c>
      <c r="B69">
        <v>2018</v>
      </c>
      <c r="C69" s="57">
        <v>20584.95</v>
      </c>
      <c r="D69" s="57">
        <v>83822.42</v>
      </c>
      <c r="E69" t="s">
        <v>62</v>
      </c>
    </row>
    <row r="70" spans="1:5" x14ac:dyDescent="0.25">
      <c r="A70">
        <v>32</v>
      </c>
      <c r="B70">
        <v>2018</v>
      </c>
      <c r="C70" s="57">
        <v>108580.63</v>
      </c>
      <c r="D70" s="57">
        <v>0</v>
      </c>
      <c r="E70" t="s">
        <v>63</v>
      </c>
    </row>
    <row r="71" spans="1:5" x14ac:dyDescent="0.25">
      <c r="A71">
        <v>33</v>
      </c>
      <c r="B71">
        <v>2018</v>
      </c>
      <c r="C71" s="57">
        <v>10993.72</v>
      </c>
      <c r="D71" s="57">
        <v>117211.99</v>
      </c>
      <c r="E71" t="s">
        <v>62</v>
      </c>
    </row>
    <row r="72" spans="1:5" x14ac:dyDescent="0.25">
      <c r="A72">
        <v>34</v>
      </c>
      <c r="B72">
        <v>2018</v>
      </c>
      <c r="C72" s="57">
        <v>126536.37</v>
      </c>
      <c r="D72" s="57">
        <v>6475.23</v>
      </c>
      <c r="E72" t="s">
        <v>62</v>
      </c>
    </row>
    <row r="73" spans="1:5" x14ac:dyDescent="0.25">
      <c r="A73">
        <v>35</v>
      </c>
      <c r="B73">
        <v>2018</v>
      </c>
      <c r="C73" s="57">
        <v>140772.25</v>
      </c>
      <c r="D73" s="57">
        <v>18166.8</v>
      </c>
      <c r="E73" t="s">
        <v>62</v>
      </c>
    </row>
    <row r="74" spans="1:5" x14ac:dyDescent="0.25">
      <c r="A74">
        <v>36</v>
      </c>
      <c r="B74">
        <v>2018</v>
      </c>
      <c r="C74" s="57">
        <v>168249.38</v>
      </c>
      <c r="D74" s="57">
        <v>24358.85</v>
      </c>
      <c r="E74" t="s">
        <v>62</v>
      </c>
    </row>
    <row r="75" spans="1:5" x14ac:dyDescent="0.25">
      <c r="A75">
        <v>37</v>
      </c>
      <c r="B75">
        <v>2018</v>
      </c>
      <c r="C75" s="57">
        <v>231507.35</v>
      </c>
      <c r="D75" s="57">
        <v>4009.17</v>
      </c>
      <c r="E75" t="s">
        <v>63</v>
      </c>
    </row>
    <row r="76" spans="1:5" x14ac:dyDescent="0.25">
      <c r="A76">
        <v>38</v>
      </c>
      <c r="B76">
        <v>2018</v>
      </c>
      <c r="C76" s="57">
        <v>272746.95</v>
      </c>
      <c r="D76" s="57">
        <v>10547.39</v>
      </c>
      <c r="E76" t="s">
        <v>62</v>
      </c>
    </row>
    <row r="77" spans="1:5" x14ac:dyDescent="0.25">
      <c r="A77">
        <v>39</v>
      </c>
      <c r="B77">
        <v>2018</v>
      </c>
      <c r="C77" s="57">
        <v>317721.56</v>
      </c>
      <c r="D77" s="57">
        <v>4396.01</v>
      </c>
      <c r="E77" t="s">
        <v>62</v>
      </c>
    </row>
    <row r="78" spans="1:5" x14ac:dyDescent="0.25">
      <c r="A78">
        <v>40</v>
      </c>
      <c r="B78">
        <v>2018</v>
      </c>
      <c r="C78" s="57">
        <v>422448.2</v>
      </c>
      <c r="D78" s="57">
        <v>116491.59</v>
      </c>
      <c r="E78" t="s">
        <v>62</v>
      </c>
    </row>
    <row r="79" spans="1:5" x14ac:dyDescent="0.25">
      <c r="A79">
        <v>1</v>
      </c>
      <c r="B79">
        <v>2019</v>
      </c>
      <c r="C79" s="57">
        <v>40185.019999999997</v>
      </c>
      <c r="D79" s="57">
        <v>0</v>
      </c>
      <c r="E79" t="s">
        <v>62</v>
      </c>
    </row>
    <row r="80" spans="1:5" x14ac:dyDescent="0.25">
      <c r="A80">
        <v>2</v>
      </c>
      <c r="B80">
        <v>2019</v>
      </c>
      <c r="C80" s="57">
        <v>59882.19</v>
      </c>
      <c r="D80" s="57">
        <v>0</v>
      </c>
      <c r="E80" t="s">
        <v>62</v>
      </c>
    </row>
    <row r="81" spans="1:5" x14ac:dyDescent="0.25">
      <c r="A81">
        <v>3</v>
      </c>
      <c r="B81">
        <v>2019</v>
      </c>
      <c r="C81" s="57">
        <v>86282.3</v>
      </c>
      <c r="D81" s="57">
        <v>6.18</v>
      </c>
      <c r="E81" t="s">
        <v>62</v>
      </c>
    </row>
    <row r="83" spans="1:5" x14ac:dyDescent="0.25">
      <c r="A83" t="s">
        <v>64</v>
      </c>
      <c r="B83" t="s">
        <v>65</v>
      </c>
    </row>
    <row r="84" spans="1:5" x14ac:dyDescent="0.25">
      <c r="A84">
        <v>2017</v>
      </c>
      <c r="B84" t="s">
        <v>66</v>
      </c>
    </row>
    <row r="85" spans="1:5" x14ac:dyDescent="0.25">
      <c r="A85">
        <v>2017</v>
      </c>
      <c r="B85" t="s">
        <v>67</v>
      </c>
    </row>
    <row r="86" spans="1:5" x14ac:dyDescent="0.25">
      <c r="A86">
        <v>2017</v>
      </c>
      <c r="B86" t="s">
        <v>68</v>
      </c>
    </row>
    <row r="87" spans="1:5" x14ac:dyDescent="0.25">
      <c r="A87">
        <v>2017</v>
      </c>
      <c r="B87" t="s">
        <v>69</v>
      </c>
    </row>
    <row r="88" spans="1:5" x14ac:dyDescent="0.25">
      <c r="A88">
        <v>2017</v>
      </c>
      <c r="B88" t="s">
        <v>70</v>
      </c>
    </row>
    <row r="89" spans="1:5" x14ac:dyDescent="0.25">
      <c r="A89">
        <v>2017</v>
      </c>
      <c r="B89" t="s">
        <v>71</v>
      </c>
    </row>
    <row r="90" spans="1:5" x14ac:dyDescent="0.25">
      <c r="A90">
        <v>2017</v>
      </c>
      <c r="B90" t="s">
        <v>72</v>
      </c>
    </row>
    <row r="91" spans="1:5" x14ac:dyDescent="0.25">
      <c r="A91">
        <v>2017</v>
      </c>
      <c r="B91" t="s">
        <v>73</v>
      </c>
    </row>
    <row r="92" spans="1:5" x14ac:dyDescent="0.25">
      <c r="A92">
        <v>2017</v>
      </c>
      <c r="B92" t="s">
        <v>74</v>
      </c>
    </row>
    <row r="93" spans="1:5" x14ac:dyDescent="0.25">
      <c r="A93">
        <v>2017</v>
      </c>
      <c r="B93" t="s">
        <v>75</v>
      </c>
    </row>
    <row r="94" spans="1:5" x14ac:dyDescent="0.25">
      <c r="A94">
        <v>2017</v>
      </c>
      <c r="B94" t="s">
        <v>76</v>
      </c>
    </row>
    <row r="95" spans="1:5" x14ac:dyDescent="0.25">
      <c r="A95">
        <v>2017</v>
      </c>
      <c r="B95" t="s">
        <v>77</v>
      </c>
    </row>
    <row r="96" spans="1:5" x14ac:dyDescent="0.25">
      <c r="A96">
        <v>2017</v>
      </c>
      <c r="B96" t="s">
        <v>78</v>
      </c>
    </row>
    <row r="97" spans="1:2" x14ac:dyDescent="0.25">
      <c r="A97">
        <v>2017</v>
      </c>
      <c r="B97" t="s">
        <v>79</v>
      </c>
    </row>
    <row r="98" spans="1:2" x14ac:dyDescent="0.25">
      <c r="A98">
        <v>2017</v>
      </c>
      <c r="B98" t="s">
        <v>80</v>
      </c>
    </row>
    <row r="99" spans="1:2" x14ac:dyDescent="0.25">
      <c r="A99">
        <v>2017</v>
      </c>
      <c r="B99" t="s">
        <v>81</v>
      </c>
    </row>
    <row r="100" spans="1:2" x14ac:dyDescent="0.25">
      <c r="A100">
        <v>2017</v>
      </c>
      <c r="B100" t="s">
        <v>82</v>
      </c>
    </row>
    <row r="101" spans="1:2" x14ac:dyDescent="0.25">
      <c r="A101">
        <v>2017</v>
      </c>
      <c r="B101" t="s">
        <v>83</v>
      </c>
    </row>
    <row r="102" spans="1:2" x14ac:dyDescent="0.25">
      <c r="A102">
        <v>2017</v>
      </c>
      <c r="B102" t="s">
        <v>84</v>
      </c>
    </row>
    <row r="103" spans="1:2" x14ac:dyDescent="0.25">
      <c r="A103">
        <v>2017</v>
      </c>
      <c r="B103" t="s">
        <v>85</v>
      </c>
    </row>
    <row r="104" spans="1:2" x14ac:dyDescent="0.25">
      <c r="A104">
        <v>2017</v>
      </c>
      <c r="B104" t="s">
        <v>86</v>
      </c>
    </row>
    <row r="105" spans="1:2" x14ac:dyDescent="0.25">
      <c r="A105">
        <v>2017</v>
      </c>
      <c r="B105" t="s">
        <v>87</v>
      </c>
    </row>
    <row r="106" spans="1:2" x14ac:dyDescent="0.25">
      <c r="A106">
        <v>2017</v>
      </c>
      <c r="B106" t="s">
        <v>88</v>
      </c>
    </row>
    <row r="107" spans="1:2" x14ac:dyDescent="0.25">
      <c r="A107">
        <v>2017</v>
      </c>
      <c r="B107" t="s">
        <v>89</v>
      </c>
    </row>
    <row r="108" spans="1:2" x14ac:dyDescent="0.25">
      <c r="A108">
        <v>2017</v>
      </c>
      <c r="B108" t="s">
        <v>90</v>
      </c>
    </row>
    <row r="109" spans="1:2" x14ac:dyDescent="0.25">
      <c r="A109">
        <v>2017</v>
      </c>
      <c r="B109" t="s">
        <v>91</v>
      </c>
    </row>
    <row r="110" spans="1:2" x14ac:dyDescent="0.25">
      <c r="A110">
        <v>2017</v>
      </c>
      <c r="B110" t="s">
        <v>92</v>
      </c>
    </row>
    <row r="111" spans="1:2" x14ac:dyDescent="0.25">
      <c r="A111">
        <v>2017</v>
      </c>
      <c r="B111" t="s">
        <v>93</v>
      </c>
    </row>
    <row r="112" spans="1:2" x14ac:dyDescent="0.25">
      <c r="A112">
        <v>2017</v>
      </c>
      <c r="B112" t="s">
        <v>94</v>
      </c>
    </row>
    <row r="113" spans="1:2" x14ac:dyDescent="0.25">
      <c r="A113">
        <v>2017</v>
      </c>
      <c r="B113" t="s">
        <v>95</v>
      </c>
    </row>
    <row r="114" spans="1:2" x14ac:dyDescent="0.25">
      <c r="A114">
        <v>2017</v>
      </c>
      <c r="B114" t="s">
        <v>96</v>
      </c>
    </row>
    <row r="115" spans="1:2" x14ac:dyDescent="0.25">
      <c r="A115">
        <v>2017</v>
      </c>
      <c r="B115" t="s">
        <v>97</v>
      </c>
    </row>
    <row r="116" spans="1:2" x14ac:dyDescent="0.25">
      <c r="A116">
        <v>2017</v>
      </c>
      <c r="B116" t="s">
        <v>98</v>
      </c>
    </row>
    <row r="117" spans="1:2" x14ac:dyDescent="0.25">
      <c r="A117">
        <v>2017</v>
      </c>
      <c r="B117" t="s">
        <v>99</v>
      </c>
    </row>
    <row r="118" spans="1:2" x14ac:dyDescent="0.25">
      <c r="A118">
        <v>2017</v>
      </c>
      <c r="B118" t="s">
        <v>100</v>
      </c>
    </row>
    <row r="119" spans="1:2" x14ac:dyDescent="0.25">
      <c r="A119">
        <v>2017</v>
      </c>
      <c r="B119" t="s">
        <v>101</v>
      </c>
    </row>
    <row r="120" spans="1:2" x14ac:dyDescent="0.25">
      <c r="A120">
        <v>2017</v>
      </c>
      <c r="B120" t="s">
        <v>102</v>
      </c>
    </row>
    <row r="121" spans="1:2" x14ac:dyDescent="0.25">
      <c r="A121">
        <v>2017</v>
      </c>
      <c r="B121" t="s">
        <v>103</v>
      </c>
    </row>
    <row r="122" spans="1:2" x14ac:dyDescent="0.25">
      <c r="A122">
        <v>2017</v>
      </c>
      <c r="B122" t="s">
        <v>104</v>
      </c>
    </row>
    <row r="123" spans="1:2" x14ac:dyDescent="0.25">
      <c r="A123">
        <v>2017</v>
      </c>
      <c r="B123" t="s">
        <v>105</v>
      </c>
    </row>
    <row r="124" spans="1:2" x14ac:dyDescent="0.25">
      <c r="A124">
        <v>2017</v>
      </c>
      <c r="B124" t="s">
        <v>106</v>
      </c>
    </row>
    <row r="125" spans="1:2" x14ac:dyDescent="0.25">
      <c r="A125">
        <v>2017</v>
      </c>
      <c r="B125" t="s">
        <v>107</v>
      </c>
    </row>
    <row r="126" spans="1:2" x14ac:dyDescent="0.25">
      <c r="A126">
        <v>2017</v>
      </c>
      <c r="B126" t="s">
        <v>108</v>
      </c>
    </row>
    <row r="127" spans="1:2" x14ac:dyDescent="0.25">
      <c r="A127">
        <v>2017</v>
      </c>
      <c r="B127" t="s">
        <v>109</v>
      </c>
    </row>
    <row r="128" spans="1:2" x14ac:dyDescent="0.25">
      <c r="A128">
        <v>2017</v>
      </c>
      <c r="B128" t="s">
        <v>110</v>
      </c>
    </row>
    <row r="129" spans="1:2" x14ac:dyDescent="0.25">
      <c r="A129">
        <v>2017</v>
      </c>
      <c r="B129" t="s">
        <v>111</v>
      </c>
    </row>
    <row r="130" spans="1:2" x14ac:dyDescent="0.25">
      <c r="A130">
        <v>2017</v>
      </c>
      <c r="B130" t="s">
        <v>112</v>
      </c>
    </row>
    <row r="131" spans="1:2" x14ac:dyDescent="0.25">
      <c r="A131">
        <v>2017</v>
      </c>
      <c r="B131" t="s">
        <v>113</v>
      </c>
    </row>
    <row r="132" spans="1:2" x14ac:dyDescent="0.25">
      <c r="A132">
        <v>2017</v>
      </c>
      <c r="B132" t="s">
        <v>114</v>
      </c>
    </row>
    <row r="133" spans="1:2" x14ac:dyDescent="0.25">
      <c r="A133">
        <v>2017</v>
      </c>
      <c r="B133" t="s">
        <v>115</v>
      </c>
    </row>
    <row r="134" spans="1:2" x14ac:dyDescent="0.25">
      <c r="A134">
        <v>2017</v>
      </c>
      <c r="B134" t="s">
        <v>116</v>
      </c>
    </row>
    <row r="135" spans="1:2" x14ac:dyDescent="0.25">
      <c r="A135">
        <v>2017</v>
      </c>
      <c r="B135" t="s">
        <v>117</v>
      </c>
    </row>
    <row r="136" spans="1:2" x14ac:dyDescent="0.25">
      <c r="A136">
        <v>2017</v>
      </c>
      <c r="B136" t="s">
        <v>118</v>
      </c>
    </row>
    <row r="137" spans="1:2" x14ac:dyDescent="0.25">
      <c r="A137">
        <v>2017</v>
      </c>
      <c r="B137" t="s">
        <v>119</v>
      </c>
    </row>
    <row r="138" spans="1:2" x14ac:dyDescent="0.25">
      <c r="A138">
        <v>2017</v>
      </c>
      <c r="B138" t="s">
        <v>120</v>
      </c>
    </row>
    <row r="139" spans="1:2" x14ac:dyDescent="0.25">
      <c r="A139">
        <v>2017</v>
      </c>
      <c r="B139" t="s">
        <v>121</v>
      </c>
    </row>
    <row r="140" spans="1:2" x14ac:dyDescent="0.25">
      <c r="A140">
        <v>2017</v>
      </c>
      <c r="B140" t="s">
        <v>122</v>
      </c>
    </row>
    <row r="141" spans="1:2" x14ac:dyDescent="0.25">
      <c r="A141">
        <v>2017</v>
      </c>
      <c r="B141" t="s">
        <v>123</v>
      </c>
    </row>
    <row r="142" spans="1:2" x14ac:dyDescent="0.25">
      <c r="A142">
        <v>2017</v>
      </c>
      <c r="B142" t="s">
        <v>124</v>
      </c>
    </row>
    <row r="143" spans="1:2" x14ac:dyDescent="0.25">
      <c r="A143">
        <v>2017</v>
      </c>
      <c r="B143" t="s">
        <v>125</v>
      </c>
    </row>
    <row r="144" spans="1:2" x14ac:dyDescent="0.25">
      <c r="A144">
        <v>2017</v>
      </c>
      <c r="B144" t="s">
        <v>126</v>
      </c>
    </row>
    <row r="145" spans="1:2" x14ac:dyDescent="0.25">
      <c r="A145">
        <v>2017</v>
      </c>
      <c r="B145" t="s">
        <v>127</v>
      </c>
    </row>
    <row r="146" spans="1:2" x14ac:dyDescent="0.25">
      <c r="A146">
        <v>2017</v>
      </c>
      <c r="B146" t="s">
        <v>128</v>
      </c>
    </row>
    <row r="147" spans="1:2" x14ac:dyDescent="0.25">
      <c r="A147">
        <v>2017</v>
      </c>
      <c r="B147" t="s">
        <v>129</v>
      </c>
    </row>
    <row r="148" spans="1:2" x14ac:dyDescent="0.25">
      <c r="A148">
        <v>2017</v>
      </c>
      <c r="B148" t="s">
        <v>130</v>
      </c>
    </row>
    <row r="149" spans="1:2" x14ac:dyDescent="0.25">
      <c r="A149">
        <v>2017</v>
      </c>
      <c r="B149" t="s">
        <v>131</v>
      </c>
    </row>
    <row r="150" spans="1:2" x14ac:dyDescent="0.25">
      <c r="A150">
        <v>2017</v>
      </c>
      <c r="B150" t="s">
        <v>132</v>
      </c>
    </row>
    <row r="151" spans="1:2" x14ac:dyDescent="0.25">
      <c r="A151">
        <v>2017</v>
      </c>
      <c r="B151" t="s">
        <v>133</v>
      </c>
    </row>
    <row r="152" spans="1:2" x14ac:dyDescent="0.25">
      <c r="A152">
        <v>2017</v>
      </c>
      <c r="B152" t="s">
        <v>134</v>
      </c>
    </row>
    <row r="153" spans="1:2" x14ac:dyDescent="0.25">
      <c r="A153">
        <v>2017</v>
      </c>
      <c r="B153" t="s">
        <v>135</v>
      </c>
    </row>
    <row r="154" spans="1:2" x14ac:dyDescent="0.25">
      <c r="A154">
        <v>2017</v>
      </c>
      <c r="B154" t="s">
        <v>136</v>
      </c>
    </row>
    <row r="155" spans="1:2" x14ac:dyDescent="0.25">
      <c r="A155">
        <v>2017</v>
      </c>
      <c r="B155" t="s">
        <v>137</v>
      </c>
    </row>
    <row r="156" spans="1:2" x14ac:dyDescent="0.25">
      <c r="A156">
        <v>2017</v>
      </c>
      <c r="B156" t="s">
        <v>138</v>
      </c>
    </row>
    <row r="157" spans="1:2" x14ac:dyDescent="0.25">
      <c r="A157">
        <v>2017</v>
      </c>
      <c r="B157" t="s">
        <v>139</v>
      </c>
    </row>
    <row r="158" spans="1:2" x14ac:dyDescent="0.25">
      <c r="A158">
        <v>2017</v>
      </c>
      <c r="B158" t="s">
        <v>140</v>
      </c>
    </row>
    <row r="159" spans="1:2" x14ac:dyDescent="0.25">
      <c r="A159">
        <v>2017</v>
      </c>
      <c r="B159" t="s">
        <v>141</v>
      </c>
    </row>
    <row r="160" spans="1:2" x14ac:dyDescent="0.25">
      <c r="A160">
        <v>2017</v>
      </c>
      <c r="B160" t="s">
        <v>142</v>
      </c>
    </row>
    <row r="161" spans="1:2" x14ac:dyDescent="0.25">
      <c r="A161">
        <v>2017</v>
      </c>
      <c r="B161" t="s">
        <v>143</v>
      </c>
    </row>
    <row r="162" spans="1:2" x14ac:dyDescent="0.25">
      <c r="A162">
        <v>2017</v>
      </c>
      <c r="B162" t="s">
        <v>144</v>
      </c>
    </row>
    <row r="163" spans="1:2" x14ac:dyDescent="0.25">
      <c r="A163">
        <v>2017</v>
      </c>
      <c r="B163" t="s">
        <v>145</v>
      </c>
    </row>
    <row r="164" spans="1:2" x14ac:dyDescent="0.25">
      <c r="A164">
        <v>2017</v>
      </c>
      <c r="B164" t="s">
        <v>146</v>
      </c>
    </row>
    <row r="165" spans="1:2" x14ac:dyDescent="0.25">
      <c r="A165">
        <v>2017</v>
      </c>
      <c r="B165" t="s">
        <v>147</v>
      </c>
    </row>
    <row r="166" spans="1:2" x14ac:dyDescent="0.25">
      <c r="A166">
        <v>2017</v>
      </c>
      <c r="B166" t="s">
        <v>148</v>
      </c>
    </row>
    <row r="167" spans="1:2" x14ac:dyDescent="0.25">
      <c r="A167">
        <v>2017</v>
      </c>
      <c r="B167" t="s">
        <v>149</v>
      </c>
    </row>
    <row r="168" spans="1:2" x14ac:dyDescent="0.25">
      <c r="A168">
        <v>2017</v>
      </c>
      <c r="B168" t="s">
        <v>150</v>
      </c>
    </row>
    <row r="169" spans="1:2" x14ac:dyDescent="0.25">
      <c r="A169">
        <v>2017</v>
      </c>
      <c r="B169" t="s">
        <v>151</v>
      </c>
    </row>
    <row r="170" spans="1:2" x14ac:dyDescent="0.25">
      <c r="A170">
        <v>2017</v>
      </c>
      <c r="B170" t="s">
        <v>152</v>
      </c>
    </row>
    <row r="171" spans="1:2" x14ac:dyDescent="0.25">
      <c r="A171">
        <v>2017</v>
      </c>
      <c r="B171" t="s">
        <v>153</v>
      </c>
    </row>
    <row r="172" spans="1:2" x14ac:dyDescent="0.25">
      <c r="A172">
        <v>2017</v>
      </c>
      <c r="B172" t="s">
        <v>154</v>
      </c>
    </row>
    <row r="173" spans="1:2" x14ac:dyDescent="0.25">
      <c r="A173">
        <v>2017</v>
      </c>
      <c r="B173" t="s">
        <v>155</v>
      </c>
    </row>
    <row r="174" spans="1:2" x14ac:dyDescent="0.25">
      <c r="A174">
        <v>2017</v>
      </c>
      <c r="B174" t="s">
        <v>156</v>
      </c>
    </row>
    <row r="175" spans="1:2" x14ac:dyDescent="0.25">
      <c r="A175">
        <v>2017</v>
      </c>
      <c r="B175" t="s">
        <v>157</v>
      </c>
    </row>
    <row r="176" spans="1:2" x14ac:dyDescent="0.25">
      <c r="A176">
        <v>2017</v>
      </c>
      <c r="B176" t="s">
        <v>158</v>
      </c>
    </row>
    <row r="177" spans="1:2" x14ac:dyDescent="0.25">
      <c r="A177">
        <v>2017</v>
      </c>
      <c r="B177" t="s">
        <v>159</v>
      </c>
    </row>
    <row r="178" spans="1:2" x14ac:dyDescent="0.25">
      <c r="A178">
        <v>2017</v>
      </c>
      <c r="B178" t="s">
        <v>160</v>
      </c>
    </row>
    <row r="179" spans="1:2" x14ac:dyDescent="0.25">
      <c r="A179">
        <v>2017</v>
      </c>
      <c r="B179" t="s">
        <v>161</v>
      </c>
    </row>
    <row r="180" spans="1:2" x14ac:dyDescent="0.25">
      <c r="A180">
        <v>2017</v>
      </c>
      <c r="B180" t="s">
        <v>162</v>
      </c>
    </row>
    <row r="181" spans="1:2" x14ac:dyDescent="0.25">
      <c r="A181">
        <v>2017</v>
      </c>
      <c r="B181" t="s">
        <v>163</v>
      </c>
    </row>
    <row r="182" spans="1:2" x14ac:dyDescent="0.25">
      <c r="A182">
        <v>2017</v>
      </c>
      <c r="B182" t="s">
        <v>164</v>
      </c>
    </row>
    <row r="183" spans="1:2" x14ac:dyDescent="0.25">
      <c r="A183">
        <v>2017</v>
      </c>
      <c r="B183" t="s">
        <v>165</v>
      </c>
    </row>
    <row r="184" spans="1:2" x14ac:dyDescent="0.25">
      <c r="A184">
        <v>2017</v>
      </c>
      <c r="B184" t="s">
        <v>166</v>
      </c>
    </row>
    <row r="185" spans="1:2" x14ac:dyDescent="0.25">
      <c r="A185">
        <v>2017</v>
      </c>
      <c r="B185" t="s">
        <v>167</v>
      </c>
    </row>
    <row r="186" spans="1:2" x14ac:dyDescent="0.25">
      <c r="A186">
        <v>2017</v>
      </c>
      <c r="B186" t="s">
        <v>168</v>
      </c>
    </row>
    <row r="187" spans="1:2" x14ac:dyDescent="0.25">
      <c r="A187">
        <v>2017</v>
      </c>
      <c r="B187" t="s">
        <v>169</v>
      </c>
    </row>
    <row r="188" spans="1:2" x14ac:dyDescent="0.25">
      <c r="A188">
        <v>2017</v>
      </c>
      <c r="B188" t="s">
        <v>170</v>
      </c>
    </row>
    <row r="189" spans="1:2" x14ac:dyDescent="0.25">
      <c r="A189">
        <v>2017</v>
      </c>
      <c r="B189" t="s">
        <v>171</v>
      </c>
    </row>
    <row r="190" spans="1:2" x14ac:dyDescent="0.25">
      <c r="A190">
        <v>2017</v>
      </c>
      <c r="B190" t="s">
        <v>172</v>
      </c>
    </row>
    <row r="191" spans="1:2" x14ac:dyDescent="0.25">
      <c r="A191">
        <v>2017</v>
      </c>
      <c r="B191" t="s">
        <v>173</v>
      </c>
    </row>
    <row r="192" spans="1:2" x14ac:dyDescent="0.25">
      <c r="A192">
        <v>2017</v>
      </c>
      <c r="B192" t="s">
        <v>174</v>
      </c>
    </row>
    <row r="193" spans="1:2" x14ac:dyDescent="0.25">
      <c r="A193">
        <v>2017</v>
      </c>
      <c r="B193" t="s">
        <v>175</v>
      </c>
    </row>
    <row r="194" spans="1:2" x14ac:dyDescent="0.25">
      <c r="A194">
        <v>2017</v>
      </c>
      <c r="B194" t="s">
        <v>176</v>
      </c>
    </row>
    <row r="195" spans="1:2" x14ac:dyDescent="0.25">
      <c r="A195">
        <v>2017</v>
      </c>
      <c r="B195" t="s">
        <v>177</v>
      </c>
    </row>
    <row r="196" spans="1:2" x14ac:dyDescent="0.25">
      <c r="A196">
        <v>2017</v>
      </c>
      <c r="B196" t="s">
        <v>178</v>
      </c>
    </row>
    <row r="197" spans="1:2" x14ac:dyDescent="0.25">
      <c r="A197">
        <v>2017</v>
      </c>
      <c r="B197" t="s">
        <v>179</v>
      </c>
    </row>
    <row r="198" spans="1:2" x14ac:dyDescent="0.25">
      <c r="A198">
        <v>2017</v>
      </c>
      <c r="B198" t="s">
        <v>180</v>
      </c>
    </row>
    <row r="199" spans="1:2" x14ac:dyDescent="0.25">
      <c r="A199">
        <v>2017</v>
      </c>
      <c r="B199" t="s">
        <v>181</v>
      </c>
    </row>
    <row r="200" spans="1:2" x14ac:dyDescent="0.25">
      <c r="A200">
        <v>2017</v>
      </c>
      <c r="B200" t="s">
        <v>182</v>
      </c>
    </row>
    <row r="201" spans="1:2" x14ac:dyDescent="0.25">
      <c r="A201">
        <v>2017</v>
      </c>
      <c r="B201" t="s">
        <v>183</v>
      </c>
    </row>
    <row r="202" spans="1:2" x14ac:dyDescent="0.25">
      <c r="A202">
        <v>2017</v>
      </c>
      <c r="B202" t="s">
        <v>184</v>
      </c>
    </row>
    <row r="203" spans="1:2" x14ac:dyDescent="0.25">
      <c r="A203">
        <v>2017</v>
      </c>
      <c r="B203" t="s">
        <v>185</v>
      </c>
    </row>
    <row r="204" spans="1:2" x14ac:dyDescent="0.25">
      <c r="A204">
        <v>2017</v>
      </c>
      <c r="B204" t="s">
        <v>186</v>
      </c>
    </row>
    <row r="205" spans="1:2" x14ac:dyDescent="0.25">
      <c r="A205">
        <v>2017</v>
      </c>
      <c r="B205" t="s">
        <v>187</v>
      </c>
    </row>
    <row r="206" spans="1:2" x14ac:dyDescent="0.25">
      <c r="A206">
        <v>2017</v>
      </c>
      <c r="B206" t="s">
        <v>188</v>
      </c>
    </row>
    <row r="207" spans="1:2" x14ac:dyDescent="0.25">
      <c r="A207">
        <v>2017</v>
      </c>
      <c r="B207" t="s">
        <v>189</v>
      </c>
    </row>
    <row r="208" spans="1:2" x14ac:dyDescent="0.25">
      <c r="A208">
        <v>2017</v>
      </c>
      <c r="B208" t="s">
        <v>190</v>
      </c>
    </row>
    <row r="209" spans="1:2" x14ac:dyDescent="0.25">
      <c r="A209">
        <v>2017</v>
      </c>
      <c r="B209" t="s">
        <v>191</v>
      </c>
    </row>
    <row r="210" spans="1:2" x14ac:dyDescent="0.25">
      <c r="A210">
        <v>2017</v>
      </c>
      <c r="B210" t="s">
        <v>192</v>
      </c>
    </row>
    <row r="211" spans="1:2" x14ac:dyDescent="0.25">
      <c r="A211">
        <v>2017</v>
      </c>
      <c r="B211" t="s">
        <v>193</v>
      </c>
    </row>
    <row r="212" spans="1:2" x14ac:dyDescent="0.25">
      <c r="A212">
        <v>2017</v>
      </c>
      <c r="B212" t="s">
        <v>194</v>
      </c>
    </row>
    <row r="213" spans="1:2" x14ac:dyDescent="0.25">
      <c r="A213">
        <v>2017</v>
      </c>
      <c r="B213" t="s">
        <v>195</v>
      </c>
    </row>
    <row r="214" spans="1:2" x14ac:dyDescent="0.25">
      <c r="A214">
        <v>2017</v>
      </c>
      <c r="B214" t="s">
        <v>196</v>
      </c>
    </row>
    <row r="215" spans="1:2" x14ac:dyDescent="0.25">
      <c r="A215">
        <v>2017</v>
      </c>
      <c r="B215" t="s">
        <v>197</v>
      </c>
    </row>
    <row r="216" spans="1:2" x14ac:dyDescent="0.25">
      <c r="A216">
        <v>2017</v>
      </c>
      <c r="B216" t="s">
        <v>198</v>
      </c>
    </row>
    <row r="217" spans="1:2" x14ac:dyDescent="0.25">
      <c r="A217">
        <v>2017</v>
      </c>
      <c r="B217" t="s">
        <v>199</v>
      </c>
    </row>
    <row r="218" spans="1:2" x14ac:dyDescent="0.25">
      <c r="A218">
        <v>2017</v>
      </c>
      <c r="B218" t="s">
        <v>200</v>
      </c>
    </row>
    <row r="219" spans="1:2" x14ac:dyDescent="0.25">
      <c r="A219">
        <v>2017</v>
      </c>
      <c r="B219" t="s">
        <v>201</v>
      </c>
    </row>
    <row r="220" spans="1:2" x14ac:dyDescent="0.25">
      <c r="A220">
        <v>2017</v>
      </c>
      <c r="B220" t="s">
        <v>202</v>
      </c>
    </row>
    <row r="221" spans="1:2" x14ac:dyDescent="0.25">
      <c r="A221">
        <v>2017</v>
      </c>
      <c r="B221" t="s">
        <v>203</v>
      </c>
    </row>
    <row r="222" spans="1:2" x14ac:dyDescent="0.25">
      <c r="A222">
        <v>2017</v>
      </c>
      <c r="B222" t="s">
        <v>204</v>
      </c>
    </row>
    <row r="223" spans="1:2" x14ac:dyDescent="0.25">
      <c r="A223">
        <v>2017</v>
      </c>
      <c r="B223" t="s">
        <v>205</v>
      </c>
    </row>
    <row r="224" spans="1:2" x14ac:dyDescent="0.25">
      <c r="A224">
        <v>2017</v>
      </c>
      <c r="B224" t="s">
        <v>206</v>
      </c>
    </row>
    <row r="225" spans="1:2" x14ac:dyDescent="0.25">
      <c r="A225">
        <v>2017</v>
      </c>
      <c r="B225" t="s">
        <v>207</v>
      </c>
    </row>
    <row r="226" spans="1:2" x14ac:dyDescent="0.25">
      <c r="A226">
        <v>2017</v>
      </c>
      <c r="B226" t="s">
        <v>208</v>
      </c>
    </row>
    <row r="227" spans="1:2" x14ac:dyDescent="0.25">
      <c r="A227">
        <v>2017</v>
      </c>
      <c r="B227" t="s">
        <v>209</v>
      </c>
    </row>
    <row r="228" spans="1:2" x14ac:dyDescent="0.25">
      <c r="A228">
        <v>2017</v>
      </c>
      <c r="B228" t="s">
        <v>210</v>
      </c>
    </row>
    <row r="229" spans="1:2" x14ac:dyDescent="0.25">
      <c r="A229">
        <v>2017</v>
      </c>
      <c r="B229" t="s">
        <v>211</v>
      </c>
    </row>
    <row r="230" spans="1:2" x14ac:dyDescent="0.25">
      <c r="A230">
        <v>2017</v>
      </c>
      <c r="B230" t="s">
        <v>212</v>
      </c>
    </row>
    <row r="231" spans="1:2" x14ac:dyDescent="0.25">
      <c r="A231">
        <v>2017</v>
      </c>
      <c r="B231" t="s">
        <v>213</v>
      </c>
    </row>
    <row r="232" spans="1:2" x14ac:dyDescent="0.25">
      <c r="A232">
        <v>2017</v>
      </c>
      <c r="B232" t="s">
        <v>214</v>
      </c>
    </row>
    <row r="233" spans="1:2" x14ac:dyDescent="0.25">
      <c r="A233">
        <v>2017</v>
      </c>
      <c r="B233" t="s">
        <v>215</v>
      </c>
    </row>
    <row r="234" spans="1:2" x14ac:dyDescent="0.25">
      <c r="A234">
        <v>2017</v>
      </c>
      <c r="B234" t="s">
        <v>216</v>
      </c>
    </row>
    <row r="235" spans="1:2" x14ac:dyDescent="0.25">
      <c r="A235">
        <v>2017</v>
      </c>
      <c r="B235" t="s">
        <v>217</v>
      </c>
    </row>
    <row r="236" spans="1:2" x14ac:dyDescent="0.25">
      <c r="A236">
        <v>2017</v>
      </c>
      <c r="B236" t="s">
        <v>218</v>
      </c>
    </row>
    <row r="237" spans="1:2" x14ac:dyDescent="0.25">
      <c r="A237">
        <v>2017</v>
      </c>
      <c r="B237" t="s">
        <v>219</v>
      </c>
    </row>
    <row r="238" spans="1:2" x14ac:dyDescent="0.25">
      <c r="A238">
        <v>2017</v>
      </c>
      <c r="B238" t="s">
        <v>220</v>
      </c>
    </row>
    <row r="239" spans="1:2" x14ac:dyDescent="0.25">
      <c r="A239">
        <v>2017</v>
      </c>
      <c r="B239" t="s">
        <v>221</v>
      </c>
    </row>
    <row r="240" spans="1:2" x14ac:dyDescent="0.25">
      <c r="A240">
        <v>2017</v>
      </c>
      <c r="B240" t="s">
        <v>222</v>
      </c>
    </row>
    <row r="241" spans="1:2" x14ac:dyDescent="0.25">
      <c r="A241">
        <v>2017</v>
      </c>
      <c r="B241" t="s">
        <v>223</v>
      </c>
    </row>
    <row r="242" spans="1:2" x14ac:dyDescent="0.25">
      <c r="A242">
        <v>2017</v>
      </c>
      <c r="B242" t="s">
        <v>224</v>
      </c>
    </row>
    <row r="243" spans="1:2" x14ac:dyDescent="0.25">
      <c r="A243">
        <v>2017</v>
      </c>
      <c r="B243" t="s">
        <v>225</v>
      </c>
    </row>
    <row r="244" spans="1:2" x14ac:dyDescent="0.25">
      <c r="A244">
        <v>2017</v>
      </c>
      <c r="B244" t="s">
        <v>226</v>
      </c>
    </row>
    <row r="245" spans="1:2" x14ac:dyDescent="0.25">
      <c r="A245">
        <v>2017</v>
      </c>
      <c r="B245" t="s">
        <v>227</v>
      </c>
    </row>
    <row r="246" spans="1:2" x14ac:dyDescent="0.25">
      <c r="A246">
        <v>2017</v>
      </c>
      <c r="B246" t="s">
        <v>228</v>
      </c>
    </row>
    <row r="247" spans="1:2" x14ac:dyDescent="0.25">
      <c r="A247">
        <v>2017</v>
      </c>
      <c r="B247" t="s">
        <v>229</v>
      </c>
    </row>
    <row r="248" spans="1:2" x14ac:dyDescent="0.25">
      <c r="A248">
        <v>2017</v>
      </c>
      <c r="B248" t="s">
        <v>230</v>
      </c>
    </row>
    <row r="249" spans="1:2" x14ac:dyDescent="0.25">
      <c r="A249">
        <v>2017</v>
      </c>
      <c r="B249" t="s">
        <v>231</v>
      </c>
    </row>
    <row r="250" spans="1:2" x14ac:dyDescent="0.25">
      <c r="A250">
        <v>2017</v>
      </c>
      <c r="B250" t="s">
        <v>232</v>
      </c>
    </row>
    <row r="251" spans="1:2" x14ac:dyDescent="0.25">
      <c r="A251">
        <v>2017</v>
      </c>
      <c r="B251" t="s">
        <v>233</v>
      </c>
    </row>
    <row r="252" spans="1:2" x14ac:dyDescent="0.25">
      <c r="A252">
        <v>2017</v>
      </c>
      <c r="B252" t="s">
        <v>234</v>
      </c>
    </row>
    <row r="253" spans="1:2" x14ac:dyDescent="0.25">
      <c r="A253">
        <v>2017</v>
      </c>
      <c r="B253" t="s">
        <v>235</v>
      </c>
    </row>
    <row r="254" spans="1:2" x14ac:dyDescent="0.25">
      <c r="A254">
        <v>2017</v>
      </c>
      <c r="B254" t="s">
        <v>236</v>
      </c>
    </row>
    <row r="255" spans="1:2" x14ac:dyDescent="0.25">
      <c r="A255">
        <v>2017</v>
      </c>
      <c r="B255" t="s">
        <v>237</v>
      </c>
    </row>
    <row r="256" spans="1:2" x14ac:dyDescent="0.25">
      <c r="A256">
        <v>2017</v>
      </c>
      <c r="B256" t="s">
        <v>238</v>
      </c>
    </row>
    <row r="257" spans="1:2" x14ac:dyDescent="0.25">
      <c r="A257">
        <v>2017</v>
      </c>
      <c r="B257" t="s">
        <v>239</v>
      </c>
    </row>
    <row r="258" spans="1:2" x14ac:dyDescent="0.25">
      <c r="A258">
        <v>2017</v>
      </c>
      <c r="B258" t="s">
        <v>240</v>
      </c>
    </row>
    <row r="259" spans="1:2" x14ac:dyDescent="0.25">
      <c r="A259">
        <v>2017</v>
      </c>
      <c r="B259" t="s">
        <v>241</v>
      </c>
    </row>
    <row r="260" spans="1:2" x14ac:dyDescent="0.25">
      <c r="A260">
        <v>2017</v>
      </c>
      <c r="B260" t="s">
        <v>242</v>
      </c>
    </row>
    <row r="261" spans="1:2" x14ac:dyDescent="0.25">
      <c r="A261">
        <v>2017</v>
      </c>
      <c r="B261" t="s">
        <v>243</v>
      </c>
    </row>
    <row r="262" spans="1:2" x14ac:dyDescent="0.25">
      <c r="A262">
        <v>2017</v>
      </c>
      <c r="B262" t="s">
        <v>244</v>
      </c>
    </row>
    <row r="263" spans="1:2" x14ac:dyDescent="0.25">
      <c r="A263">
        <v>2017</v>
      </c>
      <c r="B263" t="s">
        <v>245</v>
      </c>
    </row>
    <row r="264" spans="1:2" x14ac:dyDescent="0.25">
      <c r="A264">
        <v>2017</v>
      </c>
      <c r="B264" t="s">
        <v>246</v>
      </c>
    </row>
    <row r="265" spans="1:2" x14ac:dyDescent="0.25">
      <c r="A265">
        <v>2017</v>
      </c>
      <c r="B265" t="s">
        <v>247</v>
      </c>
    </row>
    <row r="266" spans="1:2" x14ac:dyDescent="0.25">
      <c r="A266">
        <v>2017</v>
      </c>
      <c r="B266" t="s">
        <v>248</v>
      </c>
    </row>
    <row r="267" spans="1:2" x14ac:dyDescent="0.25">
      <c r="A267">
        <v>2017</v>
      </c>
      <c r="B267" t="s">
        <v>249</v>
      </c>
    </row>
    <row r="268" spans="1:2" x14ac:dyDescent="0.25">
      <c r="A268">
        <v>2017</v>
      </c>
      <c r="B268" t="s">
        <v>250</v>
      </c>
    </row>
    <row r="269" spans="1:2" x14ac:dyDescent="0.25">
      <c r="A269">
        <v>2017</v>
      </c>
      <c r="B269" t="s">
        <v>251</v>
      </c>
    </row>
    <row r="270" spans="1:2" x14ac:dyDescent="0.25">
      <c r="A270">
        <v>2017</v>
      </c>
      <c r="B270" t="s">
        <v>252</v>
      </c>
    </row>
    <row r="271" spans="1:2" x14ac:dyDescent="0.25">
      <c r="A271">
        <v>2017</v>
      </c>
      <c r="B271" t="s">
        <v>253</v>
      </c>
    </row>
    <row r="272" spans="1:2" x14ac:dyDescent="0.25">
      <c r="A272">
        <v>2017</v>
      </c>
      <c r="B272" t="s">
        <v>254</v>
      </c>
    </row>
    <row r="273" spans="1:2" x14ac:dyDescent="0.25">
      <c r="A273">
        <v>2017</v>
      </c>
      <c r="B273" t="s">
        <v>255</v>
      </c>
    </row>
    <row r="274" spans="1:2" x14ac:dyDescent="0.25">
      <c r="A274">
        <v>2017</v>
      </c>
      <c r="B274" t="s">
        <v>256</v>
      </c>
    </row>
    <row r="275" spans="1:2" x14ac:dyDescent="0.25">
      <c r="A275">
        <v>2017</v>
      </c>
      <c r="B275" t="s">
        <v>257</v>
      </c>
    </row>
    <row r="276" spans="1:2" x14ac:dyDescent="0.25">
      <c r="A276">
        <v>2017</v>
      </c>
      <c r="B276" t="s">
        <v>258</v>
      </c>
    </row>
    <row r="277" spans="1:2" x14ac:dyDescent="0.25">
      <c r="A277">
        <v>2017</v>
      </c>
      <c r="B277" t="s">
        <v>259</v>
      </c>
    </row>
    <row r="278" spans="1:2" x14ac:dyDescent="0.25">
      <c r="A278">
        <v>2017</v>
      </c>
      <c r="B278" t="s">
        <v>260</v>
      </c>
    </row>
    <row r="279" spans="1:2" x14ac:dyDescent="0.25">
      <c r="A279">
        <v>2017</v>
      </c>
      <c r="B279" t="s">
        <v>261</v>
      </c>
    </row>
    <row r="280" spans="1:2" x14ac:dyDescent="0.25">
      <c r="A280">
        <v>2017</v>
      </c>
      <c r="B280" t="s">
        <v>262</v>
      </c>
    </row>
    <row r="281" spans="1:2" x14ac:dyDescent="0.25">
      <c r="A281">
        <v>2017</v>
      </c>
      <c r="B281" t="s">
        <v>263</v>
      </c>
    </row>
    <row r="282" spans="1:2" x14ac:dyDescent="0.25">
      <c r="A282">
        <v>2017</v>
      </c>
      <c r="B282" t="s">
        <v>264</v>
      </c>
    </row>
    <row r="283" spans="1:2" x14ac:dyDescent="0.25">
      <c r="A283">
        <v>2017</v>
      </c>
      <c r="B283" t="s">
        <v>265</v>
      </c>
    </row>
    <row r="284" spans="1:2" x14ac:dyDescent="0.25">
      <c r="A284">
        <v>2017</v>
      </c>
      <c r="B284" t="s">
        <v>266</v>
      </c>
    </row>
    <row r="285" spans="1:2" x14ac:dyDescent="0.25">
      <c r="A285">
        <v>2017</v>
      </c>
      <c r="B285" t="s">
        <v>267</v>
      </c>
    </row>
    <row r="286" spans="1:2" x14ac:dyDescent="0.25">
      <c r="A286">
        <v>2017</v>
      </c>
      <c r="B286" t="s">
        <v>268</v>
      </c>
    </row>
    <row r="287" spans="1:2" x14ac:dyDescent="0.25">
      <c r="A287">
        <v>2017</v>
      </c>
      <c r="B287" t="s">
        <v>269</v>
      </c>
    </row>
    <row r="288" spans="1:2" x14ac:dyDescent="0.25">
      <c r="A288">
        <v>2017</v>
      </c>
      <c r="B288" t="s">
        <v>270</v>
      </c>
    </row>
    <row r="289" spans="1:2" x14ac:dyDescent="0.25">
      <c r="A289">
        <v>2017</v>
      </c>
      <c r="B289" t="s">
        <v>271</v>
      </c>
    </row>
    <row r="290" spans="1:2" x14ac:dyDescent="0.25">
      <c r="A290">
        <v>2017</v>
      </c>
      <c r="B290" t="s">
        <v>272</v>
      </c>
    </row>
    <row r="291" spans="1:2" x14ac:dyDescent="0.25">
      <c r="A291">
        <v>2017</v>
      </c>
      <c r="B291" t="s">
        <v>273</v>
      </c>
    </row>
    <row r="292" spans="1:2" x14ac:dyDescent="0.25">
      <c r="A292">
        <v>2017</v>
      </c>
      <c r="B292" t="s">
        <v>274</v>
      </c>
    </row>
    <row r="293" spans="1:2" x14ac:dyDescent="0.25">
      <c r="A293">
        <v>2017</v>
      </c>
      <c r="B293" t="s">
        <v>275</v>
      </c>
    </row>
    <row r="294" spans="1:2" x14ac:dyDescent="0.25">
      <c r="A294">
        <v>2017</v>
      </c>
      <c r="B294" t="s">
        <v>276</v>
      </c>
    </row>
    <row r="295" spans="1:2" x14ac:dyDescent="0.25">
      <c r="A295">
        <v>2017</v>
      </c>
      <c r="B295" t="s">
        <v>277</v>
      </c>
    </row>
    <row r="296" spans="1:2" x14ac:dyDescent="0.25">
      <c r="A296">
        <v>2017</v>
      </c>
      <c r="B296" t="s">
        <v>278</v>
      </c>
    </row>
    <row r="297" spans="1:2" x14ac:dyDescent="0.25">
      <c r="A297">
        <v>2017</v>
      </c>
      <c r="B297" t="s">
        <v>279</v>
      </c>
    </row>
    <row r="298" spans="1:2" x14ac:dyDescent="0.25">
      <c r="A298">
        <v>2017</v>
      </c>
      <c r="B298" t="s">
        <v>280</v>
      </c>
    </row>
    <row r="299" spans="1:2" x14ac:dyDescent="0.25">
      <c r="A299">
        <v>2017</v>
      </c>
      <c r="B299" t="s">
        <v>281</v>
      </c>
    </row>
    <row r="300" spans="1:2" x14ac:dyDescent="0.25">
      <c r="A300">
        <v>2017</v>
      </c>
      <c r="B300" t="s">
        <v>282</v>
      </c>
    </row>
    <row r="301" spans="1:2" x14ac:dyDescent="0.25">
      <c r="A301">
        <v>2017</v>
      </c>
      <c r="B301" t="s">
        <v>283</v>
      </c>
    </row>
    <row r="302" spans="1:2" x14ac:dyDescent="0.25">
      <c r="A302">
        <v>2017</v>
      </c>
      <c r="B302" t="s">
        <v>284</v>
      </c>
    </row>
    <row r="303" spans="1:2" x14ac:dyDescent="0.25">
      <c r="A303">
        <v>2017</v>
      </c>
      <c r="B303" t="s">
        <v>285</v>
      </c>
    </row>
    <row r="304" spans="1:2" x14ac:dyDescent="0.25">
      <c r="A304">
        <v>2017</v>
      </c>
      <c r="B304" t="s">
        <v>286</v>
      </c>
    </row>
    <row r="305" spans="1:2" x14ac:dyDescent="0.25">
      <c r="A305">
        <v>2017</v>
      </c>
      <c r="B305" t="s">
        <v>287</v>
      </c>
    </row>
    <row r="306" spans="1:2" x14ac:dyDescent="0.25">
      <c r="A306">
        <v>2017</v>
      </c>
      <c r="B306" t="s">
        <v>288</v>
      </c>
    </row>
    <row r="307" spans="1:2" x14ac:dyDescent="0.25">
      <c r="A307">
        <v>2017</v>
      </c>
      <c r="B307" t="s">
        <v>289</v>
      </c>
    </row>
    <row r="308" spans="1:2" x14ac:dyDescent="0.25">
      <c r="A308">
        <v>2017</v>
      </c>
      <c r="B308" t="s">
        <v>290</v>
      </c>
    </row>
    <row r="309" spans="1:2" x14ac:dyDescent="0.25">
      <c r="A309">
        <v>2017</v>
      </c>
      <c r="B309" t="s">
        <v>291</v>
      </c>
    </row>
    <row r="310" spans="1:2" x14ac:dyDescent="0.25">
      <c r="A310">
        <v>2017</v>
      </c>
      <c r="B310" t="s">
        <v>292</v>
      </c>
    </row>
    <row r="311" spans="1:2" x14ac:dyDescent="0.25">
      <c r="A311">
        <v>2017</v>
      </c>
      <c r="B311" t="s">
        <v>293</v>
      </c>
    </row>
    <row r="312" spans="1:2" x14ac:dyDescent="0.25">
      <c r="A312">
        <v>2017</v>
      </c>
      <c r="B312" t="s">
        <v>294</v>
      </c>
    </row>
    <row r="313" spans="1:2" x14ac:dyDescent="0.25">
      <c r="A313">
        <v>2017</v>
      </c>
      <c r="B313" t="s">
        <v>295</v>
      </c>
    </row>
    <row r="314" spans="1:2" x14ac:dyDescent="0.25">
      <c r="A314">
        <v>2017</v>
      </c>
      <c r="B314" t="s">
        <v>296</v>
      </c>
    </row>
    <row r="315" spans="1:2" x14ac:dyDescent="0.25">
      <c r="A315">
        <v>2017</v>
      </c>
      <c r="B315" t="s">
        <v>297</v>
      </c>
    </row>
    <row r="316" spans="1:2" x14ac:dyDescent="0.25">
      <c r="A316">
        <v>2017</v>
      </c>
      <c r="B316" t="s">
        <v>298</v>
      </c>
    </row>
    <row r="317" spans="1:2" x14ac:dyDescent="0.25">
      <c r="A317">
        <v>2017</v>
      </c>
      <c r="B317" t="s">
        <v>299</v>
      </c>
    </row>
    <row r="318" spans="1:2" x14ac:dyDescent="0.25">
      <c r="A318">
        <v>2017</v>
      </c>
      <c r="B318" t="s">
        <v>300</v>
      </c>
    </row>
    <row r="319" spans="1:2" x14ac:dyDescent="0.25">
      <c r="A319">
        <v>2017</v>
      </c>
      <c r="B319" t="s">
        <v>301</v>
      </c>
    </row>
    <row r="320" spans="1:2" x14ac:dyDescent="0.25">
      <c r="A320">
        <v>2017</v>
      </c>
      <c r="B320" t="s">
        <v>302</v>
      </c>
    </row>
    <row r="321" spans="1:2" x14ac:dyDescent="0.25">
      <c r="A321">
        <v>2017</v>
      </c>
      <c r="B321" t="s">
        <v>303</v>
      </c>
    </row>
    <row r="322" spans="1:2" x14ac:dyDescent="0.25">
      <c r="A322">
        <v>2017</v>
      </c>
      <c r="B322" t="s">
        <v>304</v>
      </c>
    </row>
    <row r="323" spans="1:2" x14ac:dyDescent="0.25">
      <c r="A323">
        <v>2017</v>
      </c>
      <c r="B323" t="s">
        <v>305</v>
      </c>
    </row>
    <row r="324" spans="1:2" x14ac:dyDescent="0.25">
      <c r="A324">
        <v>2017</v>
      </c>
      <c r="B324" t="s">
        <v>306</v>
      </c>
    </row>
    <row r="325" spans="1:2" x14ac:dyDescent="0.25">
      <c r="A325">
        <v>2017</v>
      </c>
      <c r="B325" t="s">
        <v>307</v>
      </c>
    </row>
    <row r="326" spans="1:2" x14ac:dyDescent="0.25">
      <c r="A326">
        <v>2017</v>
      </c>
      <c r="B326" t="s">
        <v>308</v>
      </c>
    </row>
    <row r="327" spans="1:2" x14ac:dyDescent="0.25">
      <c r="A327">
        <v>2017</v>
      </c>
      <c r="B327" t="s">
        <v>309</v>
      </c>
    </row>
    <row r="328" spans="1:2" x14ac:dyDescent="0.25">
      <c r="A328">
        <v>2017</v>
      </c>
      <c r="B328" t="s">
        <v>310</v>
      </c>
    </row>
    <row r="329" spans="1:2" x14ac:dyDescent="0.25">
      <c r="A329">
        <v>2017</v>
      </c>
      <c r="B329" t="s">
        <v>311</v>
      </c>
    </row>
    <row r="330" spans="1:2" x14ac:dyDescent="0.25">
      <c r="A330">
        <v>2017</v>
      </c>
      <c r="B330" t="s">
        <v>312</v>
      </c>
    </row>
    <row r="331" spans="1:2" x14ac:dyDescent="0.25">
      <c r="A331">
        <v>2017</v>
      </c>
      <c r="B331" t="s">
        <v>313</v>
      </c>
    </row>
    <row r="332" spans="1:2" x14ac:dyDescent="0.25">
      <c r="A332">
        <v>2017</v>
      </c>
      <c r="B332" t="s">
        <v>314</v>
      </c>
    </row>
    <row r="333" spans="1:2" x14ac:dyDescent="0.25">
      <c r="A333">
        <v>2017</v>
      </c>
      <c r="B333" t="s">
        <v>315</v>
      </c>
    </row>
    <row r="334" spans="1:2" x14ac:dyDescent="0.25">
      <c r="A334">
        <v>2017</v>
      </c>
      <c r="B334" t="s">
        <v>316</v>
      </c>
    </row>
    <row r="335" spans="1:2" x14ac:dyDescent="0.25">
      <c r="A335">
        <v>2017</v>
      </c>
      <c r="B335" t="s">
        <v>317</v>
      </c>
    </row>
    <row r="336" spans="1:2" x14ac:dyDescent="0.25">
      <c r="A336">
        <v>2017</v>
      </c>
      <c r="B336" t="s">
        <v>318</v>
      </c>
    </row>
    <row r="337" spans="1:2" x14ac:dyDescent="0.25">
      <c r="A337">
        <v>2017</v>
      </c>
      <c r="B337" t="s">
        <v>319</v>
      </c>
    </row>
    <row r="338" spans="1:2" x14ac:dyDescent="0.25">
      <c r="A338">
        <v>2017</v>
      </c>
      <c r="B338" t="s">
        <v>320</v>
      </c>
    </row>
    <row r="339" spans="1:2" x14ac:dyDescent="0.25">
      <c r="A339">
        <v>2017</v>
      </c>
      <c r="B339" t="s">
        <v>321</v>
      </c>
    </row>
    <row r="340" spans="1:2" x14ac:dyDescent="0.25">
      <c r="A340">
        <v>2017</v>
      </c>
      <c r="B340" t="s">
        <v>322</v>
      </c>
    </row>
    <row r="341" spans="1:2" x14ac:dyDescent="0.25">
      <c r="A341">
        <v>2017</v>
      </c>
      <c r="B341" t="s">
        <v>323</v>
      </c>
    </row>
    <row r="342" spans="1:2" x14ac:dyDescent="0.25">
      <c r="A342">
        <v>2017</v>
      </c>
      <c r="B342" t="s">
        <v>324</v>
      </c>
    </row>
    <row r="343" spans="1:2" x14ac:dyDescent="0.25">
      <c r="A343">
        <v>2017</v>
      </c>
      <c r="B343" t="s">
        <v>325</v>
      </c>
    </row>
    <row r="344" spans="1:2" x14ac:dyDescent="0.25">
      <c r="A344">
        <v>2017</v>
      </c>
      <c r="B344" t="s">
        <v>326</v>
      </c>
    </row>
    <row r="345" spans="1:2" x14ac:dyDescent="0.25">
      <c r="A345">
        <v>2017</v>
      </c>
      <c r="B345" t="s">
        <v>327</v>
      </c>
    </row>
    <row r="346" spans="1:2" x14ac:dyDescent="0.25">
      <c r="A346">
        <v>2017</v>
      </c>
      <c r="B346" t="s">
        <v>328</v>
      </c>
    </row>
    <row r="347" spans="1:2" x14ac:dyDescent="0.25">
      <c r="A347">
        <v>2017</v>
      </c>
      <c r="B347" t="s">
        <v>329</v>
      </c>
    </row>
    <row r="348" spans="1:2" x14ac:dyDescent="0.25">
      <c r="A348">
        <v>2017</v>
      </c>
      <c r="B348" t="s">
        <v>330</v>
      </c>
    </row>
    <row r="349" spans="1:2" x14ac:dyDescent="0.25">
      <c r="A349">
        <v>2017</v>
      </c>
      <c r="B349" t="s">
        <v>331</v>
      </c>
    </row>
    <row r="350" spans="1:2" x14ac:dyDescent="0.25">
      <c r="A350">
        <v>2017</v>
      </c>
      <c r="B350" t="s">
        <v>332</v>
      </c>
    </row>
    <row r="351" spans="1:2" x14ac:dyDescent="0.25">
      <c r="A351">
        <v>2017</v>
      </c>
      <c r="B351" t="s">
        <v>333</v>
      </c>
    </row>
    <row r="352" spans="1:2" x14ac:dyDescent="0.25">
      <c r="A352">
        <v>2017</v>
      </c>
      <c r="B352" t="s">
        <v>334</v>
      </c>
    </row>
    <row r="353" spans="1:2" x14ac:dyDescent="0.25">
      <c r="A353">
        <v>2017</v>
      </c>
      <c r="B353" t="s">
        <v>335</v>
      </c>
    </row>
    <row r="354" spans="1:2" x14ac:dyDescent="0.25">
      <c r="A354">
        <v>2017</v>
      </c>
      <c r="B354" t="s">
        <v>336</v>
      </c>
    </row>
    <row r="355" spans="1:2" x14ac:dyDescent="0.25">
      <c r="A355">
        <v>2017</v>
      </c>
      <c r="B355" t="s">
        <v>337</v>
      </c>
    </row>
    <row r="356" spans="1:2" x14ac:dyDescent="0.25">
      <c r="A356">
        <v>2017</v>
      </c>
      <c r="B356" t="s">
        <v>338</v>
      </c>
    </row>
    <row r="357" spans="1:2" x14ac:dyDescent="0.25">
      <c r="A357">
        <v>2017</v>
      </c>
      <c r="B357" t="s">
        <v>339</v>
      </c>
    </row>
    <row r="358" spans="1:2" x14ac:dyDescent="0.25">
      <c r="A358">
        <v>2017</v>
      </c>
      <c r="B358" t="s">
        <v>340</v>
      </c>
    </row>
    <row r="359" spans="1:2" x14ac:dyDescent="0.25">
      <c r="A359">
        <v>2017</v>
      </c>
      <c r="B359" t="s">
        <v>341</v>
      </c>
    </row>
    <row r="360" spans="1:2" x14ac:dyDescent="0.25">
      <c r="A360">
        <v>2017</v>
      </c>
      <c r="B360" t="s">
        <v>342</v>
      </c>
    </row>
    <row r="361" spans="1:2" x14ac:dyDescent="0.25">
      <c r="A361">
        <v>2017</v>
      </c>
      <c r="B361" t="s">
        <v>343</v>
      </c>
    </row>
    <row r="362" spans="1:2" x14ac:dyDescent="0.25">
      <c r="A362">
        <v>2017</v>
      </c>
      <c r="B362" t="s">
        <v>344</v>
      </c>
    </row>
    <row r="363" spans="1:2" x14ac:dyDescent="0.25">
      <c r="A363">
        <v>2017</v>
      </c>
      <c r="B363" t="s">
        <v>345</v>
      </c>
    </row>
    <row r="364" spans="1:2" x14ac:dyDescent="0.25">
      <c r="A364">
        <v>2017</v>
      </c>
      <c r="B364" t="s">
        <v>346</v>
      </c>
    </row>
    <row r="365" spans="1:2" x14ac:dyDescent="0.25">
      <c r="A365">
        <v>2017</v>
      </c>
      <c r="B365" t="s">
        <v>347</v>
      </c>
    </row>
    <row r="366" spans="1:2" x14ac:dyDescent="0.25">
      <c r="A366">
        <v>2017</v>
      </c>
      <c r="B366" t="s">
        <v>348</v>
      </c>
    </row>
    <row r="367" spans="1:2" x14ac:dyDescent="0.25">
      <c r="A367">
        <v>2017</v>
      </c>
      <c r="B367" t="s">
        <v>349</v>
      </c>
    </row>
    <row r="368" spans="1:2" x14ac:dyDescent="0.25">
      <c r="A368">
        <v>2017</v>
      </c>
      <c r="B368" t="s">
        <v>350</v>
      </c>
    </row>
    <row r="369" spans="1:2" x14ac:dyDescent="0.25">
      <c r="A369">
        <v>2017</v>
      </c>
      <c r="B369" t="s">
        <v>351</v>
      </c>
    </row>
    <row r="370" spans="1:2" x14ac:dyDescent="0.25">
      <c r="A370">
        <v>2017</v>
      </c>
      <c r="B370" t="s">
        <v>352</v>
      </c>
    </row>
    <row r="371" spans="1:2" x14ac:dyDescent="0.25">
      <c r="A371">
        <v>2017</v>
      </c>
      <c r="B371" t="s">
        <v>353</v>
      </c>
    </row>
    <row r="372" spans="1:2" x14ac:dyDescent="0.25">
      <c r="A372">
        <v>2017</v>
      </c>
      <c r="B372" t="s">
        <v>354</v>
      </c>
    </row>
    <row r="373" spans="1:2" x14ac:dyDescent="0.25">
      <c r="A373">
        <v>2017</v>
      </c>
      <c r="B373" t="s">
        <v>355</v>
      </c>
    </row>
    <row r="374" spans="1:2" x14ac:dyDescent="0.25">
      <c r="A374">
        <v>2017</v>
      </c>
      <c r="B374" t="s">
        <v>356</v>
      </c>
    </row>
    <row r="375" spans="1:2" x14ac:dyDescent="0.25">
      <c r="A375">
        <v>2017</v>
      </c>
      <c r="B375" t="s">
        <v>357</v>
      </c>
    </row>
    <row r="376" spans="1:2" x14ac:dyDescent="0.25">
      <c r="A376">
        <v>2017</v>
      </c>
      <c r="B376" t="s">
        <v>358</v>
      </c>
    </row>
    <row r="377" spans="1:2" x14ac:dyDescent="0.25">
      <c r="A377">
        <v>2017</v>
      </c>
      <c r="B377" t="s">
        <v>359</v>
      </c>
    </row>
    <row r="378" spans="1:2" x14ac:dyDescent="0.25">
      <c r="A378">
        <v>2017</v>
      </c>
      <c r="B378" t="s">
        <v>360</v>
      </c>
    </row>
    <row r="379" spans="1:2" x14ac:dyDescent="0.25">
      <c r="A379">
        <v>2017</v>
      </c>
      <c r="B379" t="s">
        <v>361</v>
      </c>
    </row>
    <row r="380" spans="1:2" x14ac:dyDescent="0.25">
      <c r="A380">
        <v>2017</v>
      </c>
      <c r="B380" t="s">
        <v>362</v>
      </c>
    </row>
    <row r="381" spans="1:2" x14ac:dyDescent="0.25">
      <c r="A381">
        <v>2017</v>
      </c>
      <c r="B381" t="s">
        <v>363</v>
      </c>
    </row>
    <row r="382" spans="1:2" x14ac:dyDescent="0.25">
      <c r="A382">
        <v>2017</v>
      </c>
      <c r="B382" t="s">
        <v>364</v>
      </c>
    </row>
    <row r="383" spans="1:2" x14ac:dyDescent="0.25">
      <c r="A383">
        <v>2017</v>
      </c>
      <c r="B383" t="s">
        <v>365</v>
      </c>
    </row>
    <row r="384" spans="1:2" x14ac:dyDescent="0.25">
      <c r="A384">
        <v>2017</v>
      </c>
      <c r="B384" t="s">
        <v>366</v>
      </c>
    </row>
    <row r="385" spans="1:2" x14ac:dyDescent="0.25">
      <c r="A385">
        <v>2017</v>
      </c>
      <c r="B385" t="s">
        <v>367</v>
      </c>
    </row>
    <row r="386" spans="1:2" x14ac:dyDescent="0.25">
      <c r="A386">
        <v>2017</v>
      </c>
      <c r="B386" t="s">
        <v>368</v>
      </c>
    </row>
    <row r="387" spans="1:2" x14ac:dyDescent="0.25">
      <c r="A387">
        <v>2017</v>
      </c>
      <c r="B387" t="s">
        <v>369</v>
      </c>
    </row>
    <row r="388" spans="1:2" x14ac:dyDescent="0.25">
      <c r="A388">
        <v>2017</v>
      </c>
      <c r="B388" t="s">
        <v>370</v>
      </c>
    </row>
    <row r="389" spans="1:2" x14ac:dyDescent="0.25">
      <c r="A389">
        <v>2017</v>
      </c>
      <c r="B389" t="s">
        <v>371</v>
      </c>
    </row>
    <row r="390" spans="1:2" x14ac:dyDescent="0.25">
      <c r="A390">
        <v>2017</v>
      </c>
      <c r="B390" t="s">
        <v>372</v>
      </c>
    </row>
    <row r="391" spans="1:2" x14ac:dyDescent="0.25">
      <c r="A391">
        <v>2017</v>
      </c>
      <c r="B391" t="s">
        <v>373</v>
      </c>
    </row>
    <row r="392" spans="1:2" x14ac:dyDescent="0.25">
      <c r="A392">
        <v>2017</v>
      </c>
      <c r="B392" t="s">
        <v>374</v>
      </c>
    </row>
    <row r="393" spans="1:2" x14ac:dyDescent="0.25">
      <c r="A393">
        <v>2017</v>
      </c>
      <c r="B393" t="s">
        <v>375</v>
      </c>
    </row>
    <row r="394" spans="1:2" x14ac:dyDescent="0.25">
      <c r="A394">
        <v>2017</v>
      </c>
      <c r="B394" t="s">
        <v>376</v>
      </c>
    </row>
    <row r="395" spans="1:2" x14ac:dyDescent="0.25">
      <c r="A395">
        <v>2017</v>
      </c>
      <c r="B395" t="s">
        <v>377</v>
      </c>
    </row>
    <row r="396" spans="1:2" x14ac:dyDescent="0.25">
      <c r="A396">
        <v>2017</v>
      </c>
      <c r="B396" t="s">
        <v>378</v>
      </c>
    </row>
    <row r="397" spans="1:2" x14ac:dyDescent="0.25">
      <c r="A397">
        <v>2017</v>
      </c>
      <c r="B397" t="s">
        <v>379</v>
      </c>
    </row>
    <row r="398" spans="1:2" x14ac:dyDescent="0.25">
      <c r="A398">
        <v>2017</v>
      </c>
      <c r="B398" t="s">
        <v>380</v>
      </c>
    </row>
    <row r="399" spans="1:2" x14ac:dyDescent="0.25">
      <c r="A399">
        <v>2017</v>
      </c>
      <c r="B399" t="s">
        <v>381</v>
      </c>
    </row>
    <row r="400" spans="1:2" x14ac:dyDescent="0.25">
      <c r="A400">
        <v>2017</v>
      </c>
      <c r="B400" t="s">
        <v>382</v>
      </c>
    </row>
    <row r="401" spans="1:2" x14ac:dyDescent="0.25">
      <c r="A401">
        <v>2017</v>
      </c>
      <c r="B401" t="s">
        <v>383</v>
      </c>
    </row>
    <row r="402" spans="1:2" x14ac:dyDescent="0.25">
      <c r="A402">
        <v>2017</v>
      </c>
      <c r="B402" t="s">
        <v>384</v>
      </c>
    </row>
    <row r="403" spans="1:2" x14ac:dyDescent="0.25">
      <c r="A403">
        <v>2017</v>
      </c>
      <c r="B403" t="s">
        <v>385</v>
      </c>
    </row>
    <row r="404" spans="1:2" x14ac:dyDescent="0.25">
      <c r="A404">
        <v>2017</v>
      </c>
      <c r="B404" t="s">
        <v>386</v>
      </c>
    </row>
    <row r="405" spans="1:2" x14ac:dyDescent="0.25">
      <c r="A405">
        <v>2017</v>
      </c>
      <c r="B405" t="s">
        <v>387</v>
      </c>
    </row>
    <row r="406" spans="1:2" x14ac:dyDescent="0.25">
      <c r="A406">
        <v>2017</v>
      </c>
      <c r="B406" t="s">
        <v>388</v>
      </c>
    </row>
    <row r="407" spans="1:2" x14ac:dyDescent="0.25">
      <c r="A407">
        <v>2017</v>
      </c>
      <c r="B407" t="s">
        <v>389</v>
      </c>
    </row>
    <row r="408" spans="1:2" x14ac:dyDescent="0.25">
      <c r="A408">
        <v>2017</v>
      </c>
      <c r="B408" t="s">
        <v>390</v>
      </c>
    </row>
    <row r="409" spans="1:2" x14ac:dyDescent="0.25">
      <c r="A409">
        <v>2017</v>
      </c>
      <c r="B409" t="s">
        <v>391</v>
      </c>
    </row>
    <row r="410" spans="1:2" x14ac:dyDescent="0.25">
      <c r="A410">
        <v>2017</v>
      </c>
      <c r="B410" t="s">
        <v>392</v>
      </c>
    </row>
    <row r="411" spans="1:2" x14ac:dyDescent="0.25">
      <c r="A411">
        <v>2017</v>
      </c>
      <c r="B411" t="s">
        <v>393</v>
      </c>
    </row>
    <row r="412" spans="1:2" x14ac:dyDescent="0.25">
      <c r="A412">
        <v>2017</v>
      </c>
      <c r="B412" t="s">
        <v>394</v>
      </c>
    </row>
    <row r="413" spans="1:2" x14ac:dyDescent="0.25">
      <c r="A413">
        <v>2017</v>
      </c>
      <c r="B413" t="s">
        <v>395</v>
      </c>
    </row>
    <row r="414" spans="1:2" x14ac:dyDescent="0.25">
      <c r="A414">
        <v>2017</v>
      </c>
      <c r="B414" t="s">
        <v>396</v>
      </c>
    </row>
    <row r="415" spans="1:2" x14ac:dyDescent="0.25">
      <c r="A415">
        <v>2017</v>
      </c>
      <c r="B415" t="s">
        <v>397</v>
      </c>
    </row>
    <row r="416" spans="1:2" x14ac:dyDescent="0.25">
      <c r="A416">
        <v>2017</v>
      </c>
      <c r="B416" t="s">
        <v>398</v>
      </c>
    </row>
    <row r="417" spans="1:2" x14ac:dyDescent="0.25">
      <c r="A417">
        <v>2017</v>
      </c>
      <c r="B417" t="s">
        <v>399</v>
      </c>
    </row>
    <row r="418" spans="1:2" x14ac:dyDescent="0.25">
      <c r="A418">
        <v>2017</v>
      </c>
      <c r="B418" t="s">
        <v>400</v>
      </c>
    </row>
    <row r="419" spans="1:2" x14ac:dyDescent="0.25">
      <c r="A419">
        <v>2017</v>
      </c>
      <c r="B419" t="s">
        <v>401</v>
      </c>
    </row>
    <row r="420" spans="1:2" x14ac:dyDescent="0.25">
      <c r="A420">
        <v>2017</v>
      </c>
      <c r="B420" t="s">
        <v>402</v>
      </c>
    </row>
    <row r="421" spans="1:2" x14ac:dyDescent="0.25">
      <c r="A421">
        <v>2017</v>
      </c>
      <c r="B421" t="s">
        <v>403</v>
      </c>
    </row>
    <row r="422" spans="1:2" x14ac:dyDescent="0.25">
      <c r="A422">
        <v>2017</v>
      </c>
      <c r="B422" t="s">
        <v>404</v>
      </c>
    </row>
    <row r="423" spans="1:2" x14ac:dyDescent="0.25">
      <c r="A423">
        <v>2017</v>
      </c>
      <c r="B423" t="s">
        <v>405</v>
      </c>
    </row>
    <row r="424" spans="1:2" x14ac:dyDescent="0.25">
      <c r="A424">
        <v>2017</v>
      </c>
      <c r="B424" t="s">
        <v>406</v>
      </c>
    </row>
    <row r="425" spans="1:2" x14ac:dyDescent="0.25">
      <c r="A425">
        <v>2017</v>
      </c>
      <c r="B425" t="s">
        <v>407</v>
      </c>
    </row>
    <row r="426" spans="1:2" x14ac:dyDescent="0.25">
      <c r="A426">
        <v>2017</v>
      </c>
      <c r="B426" t="s">
        <v>408</v>
      </c>
    </row>
    <row r="427" spans="1:2" x14ac:dyDescent="0.25">
      <c r="A427">
        <v>2017</v>
      </c>
      <c r="B427" t="s">
        <v>409</v>
      </c>
    </row>
    <row r="428" spans="1:2" x14ac:dyDescent="0.25">
      <c r="A428">
        <v>2017</v>
      </c>
      <c r="B428" t="s">
        <v>410</v>
      </c>
    </row>
    <row r="429" spans="1:2" x14ac:dyDescent="0.25">
      <c r="A429">
        <v>2017</v>
      </c>
      <c r="B429" t="s">
        <v>411</v>
      </c>
    </row>
    <row r="430" spans="1:2" x14ac:dyDescent="0.25">
      <c r="A430">
        <v>2017</v>
      </c>
      <c r="B430" t="s">
        <v>412</v>
      </c>
    </row>
    <row r="431" spans="1:2" x14ac:dyDescent="0.25">
      <c r="A431">
        <v>2017</v>
      </c>
      <c r="B431" t="s">
        <v>413</v>
      </c>
    </row>
    <row r="432" spans="1:2" x14ac:dyDescent="0.25">
      <c r="A432">
        <v>2017</v>
      </c>
      <c r="B432" t="s">
        <v>414</v>
      </c>
    </row>
    <row r="433" spans="1:2" x14ac:dyDescent="0.25">
      <c r="A433">
        <v>2017</v>
      </c>
      <c r="B433" t="s">
        <v>415</v>
      </c>
    </row>
    <row r="434" spans="1:2" x14ac:dyDescent="0.25">
      <c r="A434">
        <v>2017</v>
      </c>
      <c r="B434" t="s">
        <v>416</v>
      </c>
    </row>
    <row r="435" spans="1:2" x14ac:dyDescent="0.25">
      <c r="A435">
        <v>2017</v>
      </c>
      <c r="B435" t="s">
        <v>417</v>
      </c>
    </row>
    <row r="436" spans="1:2" x14ac:dyDescent="0.25">
      <c r="A436">
        <v>2017</v>
      </c>
      <c r="B436" t="s">
        <v>418</v>
      </c>
    </row>
    <row r="437" spans="1:2" x14ac:dyDescent="0.25">
      <c r="A437">
        <v>2017</v>
      </c>
      <c r="B437" t="s">
        <v>419</v>
      </c>
    </row>
    <row r="438" spans="1:2" x14ac:dyDescent="0.25">
      <c r="A438">
        <v>2017</v>
      </c>
      <c r="B438" t="s">
        <v>420</v>
      </c>
    </row>
    <row r="439" spans="1:2" x14ac:dyDescent="0.25">
      <c r="A439">
        <v>2017</v>
      </c>
      <c r="B439" t="s">
        <v>421</v>
      </c>
    </row>
    <row r="440" spans="1:2" x14ac:dyDescent="0.25">
      <c r="A440">
        <v>2017</v>
      </c>
      <c r="B440" t="s">
        <v>422</v>
      </c>
    </row>
    <row r="441" spans="1:2" x14ac:dyDescent="0.25">
      <c r="A441">
        <v>2017</v>
      </c>
      <c r="B441" t="s">
        <v>423</v>
      </c>
    </row>
    <row r="442" spans="1:2" x14ac:dyDescent="0.25">
      <c r="A442">
        <v>2017</v>
      </c>
      <c r="B442" t="s">
        <v>424</v>
      </c>
    </row>
    <row r="443" spans="1:2" x14ac:dyDescent="0.25">
      <c r="A443">
        <v>2017</v>
      </c>
      <c r="B443" t="s">
        <v>425</v>
      </c>
    </row>
    <row r="444" spans="1:2" x14ac:dyDescent="0.25">
      <c r="A444">
        <v>2017</v>
      </c>
      <c r="B444" t="s">
        <v>426</v>
      </c>
    </row>
    <row r="445" spans="1:2" x14ac:dyDescent="0.25">
      <c r="A445">
        <v>2017</v>
      </c>
      <c r="B445" t="s">
        <v>427</v>
      </c>
    </row>
    <row r="446" spans="1:2" x14ac:dyDescent="0.25">
      <c r="A446">
        <v>2017</v>
      </c>
      <c r="B446" t="s">
        <v>428</v>
      </c>
    </row>
    <row r="447" spans="1:2" x14ac:dyDescent="0.25">
      <c r="A447">
        <v>2017</v>
      </c>
      <c r="B447" t="s">
        <v>429</v>
      </c>
    </row>
    <row r="448" spans="1:2" x14ac:dyDescent="0.25">
      <c r="A448">
        <v>2017</v>
      </c>
      <c r="B448" t="s">
        <v>430</v>
      </c>
    </row>
    <row r="449" spans="1:2" x14ac:dyDescent="0.25">
      <c r="A449">
        <v>2017</v>
      </c>
      <c r="B449" t="s">
        <v>431</v>
      </c>
    </row>
    <row r="450" spans="1:2" x14ac:dyDescent="0.25">
      <c r="A450">
        <v>2017</v>
      </c>
      <c r="B450" t="s">
        <v>432</v>
      </c>
    </row>
    <row r="451" spans="1:2" x14ac:dyDescent="0.25">
      <c r="A451">
        <v>2017</v>
      </c>
      <c r="B451" t="s">
        <v>433</v>
      </c>
    </row>
    <row r="452" spans="1:2" x14ac:dyDescent="0.25">
      <c r="A452">
        <v>2017</v>
      </c>
      <c r="B452" t="s">
        <v>434</v>
      </c>
    </row>
    <row r="453" spans="1:2" x14ac:dyDescent="0.25">
      <c r="A453">
        <v>2017</v>
      </c>
      <c r="B453" t="s">
        <v>435</v>
      </c>
    </row>
    <row r="454" spans="1:2" x14ac:dyDescent="0.25">
      <c r="A454">
        <v>2017</v>
      </c>
      <c r="B454" t="s">
        <v>436</v>
      </c>
    </row>
    <row r="455" spans="1:2" x14ac:dyDescent="0.25">
      <c r="A455">
        <v>2017</v>
      </c>
      <c r="B455" t="s">
        <v>437</v>
      </c>
    </row>
    <row r="456" spans="1:2" x14ac:dyDescent="0.25">
      <c r="A456">
        <v>2017</v>
      </c>
      <c r="B456" t="s">
        <v>438</v>
      </c>
    </row>
    <row r="457" spans="1:2" x14ac:dyDescent="0.25">
      <c r="A457">
        <v>2017</v>
      </c>
      <c r="B457" t="s">
        <v>439</v>
      </c>
    </row>
    <row r="458" spans="1:2" x14ac:dyDescent="0.25">
      <c r="A458">
        <v>2017</v>
      </c>
      <c r="B458" t="s">
        <v>440</v>
      </c>
    </row>
    <row r="459" spans="1:2" x14ac:dyDescent="0.25">
      <c r="A459">
        <v>2017</v>
      </c>
      <c r="B459" t="s">
        <v>441</v>
      </c>
    </row>
    <row r="460" spans="1:2" x14ac:dyDescent="0.25">
      <c r="A460">
        <v>2017</v>
      </c>
      <c r="B460" t="s">
        <v>442</v>
      </c>
    </row>
    <row r="461" spans="1:2" x14ac:dyDescent="0.25">
      <c r="A461">
        <v>2017</v>
      </c>
      <c r="B461" t="s">
        <v>443</v>
      </c>
    </row>
    <row r="462" spans="1:2" x14ac:dyDescent="0.25">
      <c r="A462">
        <v>2017</v>
      </c>
      <c r="B462" t="s">
        <v>444</v>
      </c>
    </row>
    <row r="463" spans="1:2" x14ac:dyDescent="0.25">
      <c r="A463">
        <v>2017</v>
      </c>
      <c r="B463" t="s">
        <v>445</v>
      </c>
    </row>
    <row r="464" spans="1:2" x14ac:dyDescent="0.25">
      <c r="A464">
        <v>2017</v>
      </c>
      <c r="B464" t="s">
        <v>446</v>
      </c>
    </row>
    <row r="465" spans="1:2" x14ac:dyDescent="0.25">
      <c r="A465">
        <v>2017</v>
      </c>
      <c r="B465" t="s">
        <v>447</v>
      </c>
    </row>
    <row r="466" spans="1:2" x14ac:dyDescent="0.25">
      <c r="A466">
        <v>2017</v>
      </c>
      <c r="B466" t="s">
        <v>448</v>
      </c>
    </row>
    <row r="467" spans="1:2" x14ac:dyDescent="0.25">
      <c r="A467">
        <v>2017</v>
      </c>
      <c r="B467" t="s">
        <v>449</v>
      </c>
    </row>
    <row r="468" spans="1:2" x14ac:dyDescent="0.25">
      <c r="A468">
        <v>2017</v>
      </c>
      <c r="B468" t="s">
        <v>450</v>
      </c>
    </row>
    <row r="469" spans="1:2" x14ac:dyDescent="0.25">
      <c r="A469">
        <v>2017</v>
      </c>
      <c r="B469" t="s">
        <v>451</v>
      </c>
    </row>
    <row r="470" spans="1:2" x14ac:dyDescent="0.25">
      <c r="A470">
        <v>2017</v>
      </c>
      <c r="B470" t="s">
        <v>452</v>
      </c>
    </row>
    <row r="471" spans="1:2" x14ac:dyDescent="0.25">
      <c r="A471">
        <v>2017</v>
      </c>
      <c r="B471" t="s">
        <v>453</v>
      </c>
    </row>
    <row r="472" spans="1:2" x14ac:dyDescent="0.25">
      <c r="A472">
        <v>2017</v>
      </c>
      <c r="B472" t="s">
        <v>454</v>
      </c>
    </row>
    <row r="473" spans="1:2" x14ac:dyDescent="0.25">
      <c r="A473">
        <v>2017</v>
      </c>
      <c r="B473" t="s">
        <v>455</v>
      </c>
    </row>
    <row r="474" spans="1:2" x14ac:dyDescent="0.25">
      <c r="A474">
        <v>2017</v>
      </c>
      <c r="B474" t="s">
        <v>456</v>
      </c>
    </row>
    <row r="475" spans="1:2" x14ac:dyDescent="0.25">
      <c r="A475">
        <v>2017</v>
      </c>
      <c r="B475" t="s">
        <v>457</v>
      </c>
    </row>
    <row r="476" spans="1:2" x14ac:dyDescent="0.25">
      <c r="A476">
        <v>2017</v>
      </c>
      <c r="B476" t="s">
        <v>458</v>
      </c>
    </row>
    <row r="477" spans="1:2" x14ac:dyDescent="0.25">
      <c r="A477">
        <v>2017</v>
      </c>
      <c r="B477" t="s">
        <v>459</v>
      </c>
    </row>
    <row r="478" spans="1:2" x14ac:dyDescent="0.25">
      <c r="A478">
        <v>2017</v>
      </c>
      <c r="B478" t="s">
        <v>460</v>
      </c>
    </row>
    <row r="479" spans="1:2" x14ac:dyDescent="0.25">
      <c r="A479">
        <v>2017</v>
      </c>
      <c r="B479" t="s">
        <v>461</v>
      </c>
    </row>
    <row r="480" spans="1:2" x14ac:dyDescent="0.25">
      <c r="A480">
        <v>2017</v>
      </c>
      <c r="B480" t="s">
        <v>462</v>
      </c>
    </row>
    <row r="481" spans="1:2" x14ac:dyDescent="0.25">
      <c r="A481">
        <v>2017</v>
      </c>
      <c r="B481" t="s">
        <v>463</v>
      </c>
    </row>
    <row r="482" spans="1:2" x14ac:dyDescent="0.25">
      <c r="A482">
        <v>2017</v>
      </c>
      <c r="B482" t="s">
        <v>464</v>
      </c>
    </row>
    <row r="483" spans="1:2" x14ac:dyDescent="0.25">
      <c r="A483">
        <v>2017</v>
      </c>
      <c r="B483" t="s">
        <v>465</v>
      </c>
    </row>
    <row r="484" spans="1:2" x14ac:dyDescent="0.25">
      <c r="A484">
        <v>2017</v>
      </c>
      <c r="B484" t="s">
        <v>466</v>
      </c>
    </row>
    <row r="485" spans="1:2" x14ac:dyDescent="0.25">
      <c r="A485">
        <v>2017</v>
      </c>
      <c r="B485" t="s">
        <v>467</v>
      </c>
    </row>
    <row r="486" spans="1:2" x14ac:dyDescent="0.25">
      <c r="A486">
        <v>2017</v>
      </c>
      <c r="B486" t="s">
        <v>468</v>
      </c>
    </row>
    <row r="487" spans="1:2" x14ac:dyDescent="0.25">
      <c r="A487">
        <v>2017</v>
      </c>
      <c r="B487" t="s">
        <v>469</v>
      </c>
    </row>
    <row r="488" spans="1:2" x14ac:dyDescent="0.25">
      <c r="A488">
        <v>2017</v>
      </c>
      <c r="B488" t="s">
        <v>470</v>
      </c>
    </row>
    <row r="489" spans="1:2" x14ac:dyDescent="0.25">
      <c r="A489">
        <v>2017</v>
      </c>
      <c r="B489" t="s">
        <v>471</v>
      </c>
    </row>
    <row r="490" spans="1:2" x14ac:dyDescent="0.25">
      <c r="A490">
        <v>2017</v>
      </c>
      <c r="B490" t="s">
        <v>472</v>
      </c>
    </row>
    <row r="491" spans="1:2" x14ac:dyDescent="0.25">
      <c r="A491">
        <v>2017</v>
      </c>
      <c r="B491" t="s">
        <v>473</v>
      </c>
    </row>
    <row r="492" spans="1:2" x14ac:dyDescent="0.25">
      <c r="A492">
        <v>2017</v>
      </c>
      <c r="B492" t="s">
        <v>474</v>
      </c>
    </row>
    <row r="493" spans="1:2" x14ac:dyDescent="0.25">
      <c r="A493">
        <v>2017</v>
      </c>
      <c r="B493" t="s">
        <v>475</v>
      </c>
    </row>
    <row r="494" spans="1:2" x14ac:dyDescent="0.25">
      <c r="A494">
        <v>2017</v>
      </c>
      <c r="B494" t="s">
        <v>476</v>
      </c>
    </row>
    <row r="495" spans="1:2" x14ac:dyDescent="0.25">
      <c r="A495">
        <v>2017</v>
      </c>
      <c r="B495" t="s">
        <v>477</v>
      </c>
    </row>
    <row r="496" spans="1:2" x14ac:dyDescent="0.25">
      <c r="A496">
        <v>2017</v>
      </c>
      <c r="B496" t="s">
        <v>478</v>
      </c>
    </row>
    <row r="497" spans="1:2" x14ac:dyDescent="0.25">
      <c r="A497">
        <v>2017</v>
      </c>
      <c r="B497" t="s">
        <v>479</v>
      </c>
    </row>
    <row r="498" spans="1:2" x14ac:dyDescent="0.25">
      <c r="A498">
        <v>2017</v>
      </c>
      <c r="B498" t="s">
        <v>480</v>
      </c>
    </row>
    <row r="499" spans="1:2" x14ac:dyDescent="0.25">
      <c r="A499">
        <v>2017</v>
      </c>
      <c r="B499" t="s">
        <v>481</v>
      </c>
    </row>
    <row r="500" spans="1:2" x14ac:dyDescent="0.25">
      <c r="A500">
        <v>2017</v>
      </c>
      <c r="B500" t="s">
        <v>482</v>
      </c>
    </row>
    <row r="501" spans="1:2" x14ac:dyDescent="0.25">
      <c r="A501">
        <v>2017</v>
      </c>
      <c r="B501" t="s">
        <v>483</v>
      </c>
    </row>
    <row r="502" spans="1:2" x14ac:dyDescent="0.25">
      <c r="A502">
        <v>2017</v>
      </c>
      <c r="B502" t="s">
        <v>484</v>
      </c>
    </row>
    <row r="503" spans="1:2" x14ac:dyDescent="0.25">
      <c r="A503">
        <v>2017</v>
      </c>
      <c r="B503" t="s">
        <v>485</v>
      </c>
    </row>
    <row r="504" spans="1:2" x14ac:dyDescent="0.25">
      <c r="A504">
        <v>2017</v>
      </c>
      <c r="B504" t="s">
        <v>486</v>
      </c>
    </row>
    <row r="505" spans="1:2" x14ac:dyDescent="0.25">
      <c r="A505">
        <v>2017</v>
      </c>
      <c r="B505" t="s">
        <v>487</v>
      </c>
    </row>
    <row r="506" spans="1:2" x14ac:dyDescent="0.25">
      <c r="A506">
        <v>2017</v>
      </c>
      <c r="B506" t="s">
        <v>488</v>
      </c>
    </row>
    <row r="507" spans="1:2" x14ac:dyDescent="0.25">
      <c r="A507">
        <v>2017</v>
      </c>
      <c r="B507" t="s">
        <v>489</v>
      </c>
    </row>
    <row r="508" spans="1:2" x14ac:dyDescent="0.25">
      <c r="A508">
        <v>2017</v>
      </c>
      <c r="B508" t="s">
        <v>490</v>
      </c>
    </row>
    <row r="509" spans="1:2" x14ac:dyDescent="0.25">
      <c r="A509">
        <v>2017</v>
      </c>
      <c r="B509" t="s">
        <v>491</v>
      </c>
    </row>
    <row r="510" spans="1:2" x14ac:dyDescent="0.25">
      <c r="A510">
        <v>2017</v>
      </c>
      <c r="B510" t="s">
        <v>492</v>
      </c>
    </row>
    <row r="511" spans="1:2" x14ac:dyDescent="0.25">
      <c r="A511">
        <v>2017</v>
      </c>
      <c r="B511" t="s">
        <v>493</v>
      </c>
    </row>
    <row r="512" spans="1:2" x14ac:dyDescent="0.25">
      <c r="A512">
        <v>2017</v>
      </c>
      <c r="B512" t="s">
        <v>494</v>
      </c>
    </row>
    <row r="513" spans="1:2" x14ac:dyDescent="0.25">
      <c r="A513">
        <v>2017</v>
      </c>
      <c r="B513" t="s">
        <v>495</v>
      </c>
    </row>
    <row r="514" spans="1:2" x14ac:dyDescent="0.25">
      <c r="A514">
        <v>2017</v>
      </c>
      <c r="B514" t="s">
        <v>496</v>
      </c>
    </row>
    <row r="515" spans="1:2" x14ac:dyDescent="0.25">
      <c r="A515">
        <v>2017</v>
      </c>
      <c r="B515" t="s">
        <v>497</v>
      </c>
    </row>
    <row r="516" spans="1:2" x14ac:dyDescent="0.25">
      <c r="A516">
        <v>2017</v>
      </c>
      <c r="B516" t="s">
        <v>498</v>
      </c>
    </row>
    <row r="517" spans="1:2" x14ac:dyDescent="0.25">
      <c r="A517">
        <v>2017</v>
      </c>
      <c r="B517" t="s">
        <v>499</v>
      </c>
    </row>
    <row r="518" spans="1:2" x14ac:dyDescent="0.25">
      <c r="A518">
        <v>2017</v>
      </c>
      <c r="B518" t="s">
        <v>500</v>
      </c>
    </row>
    <row r="519" spans="1:2" x14ac:dyDescent="0.25">
      <c r="A519">
        <v>2017</v>
      </c>
      <c r="B519" t="s">
        <v>501</v>
      </c>
    </row>
    <row r="520" spans="1:2" x14ac:dyDescent="0.25">
      <c r="A520">
        <v>2017</v>
      </c>
      <c r="B520" t="s">
        <v>502</v>
      </c>
    </row>
    <row r="521" spans="1:2" x14ac:dyDescent="0.25">
      <c r="A521">
        <v>2017</v>
      </c>
      <c r="B521" t="s">
        <v>503</v>
      </c>
    </row>
    <row r="522" spans="1:2" x14ac:dyDescent="0.25">
      <c r="A522">
        <v>2017</v>
      </c>
      <c r="B522" t="s">
        <v>504</v>
      </c>
    </row>
    <row r="523" spans="1:2" x14ac:dyDescent="0.25">
      <c r="A523">
        <v>2017</v>
      </c>
      <c r="B523" t="s">
        <v>505</v>
      </c>
    </row>
    <row r="524" spans="1:2" x14ac:dyDescent="0.25">
      <c r="A524">
        <v>2017</v>
      </c>
      <c r="B524" t="s">
        <v>506</v>
      </c>
    </row>
    <row r="525" spans="1:2" x14ac:dyDescent="0.25">
      <c r="A525">
        <v>2017</v>
      </c>
      <c r="B525" t="s">
        <v>507</v>
      </c>
    </row>
    <row r="526" spans="1:2" x14ac:dyDescent="0.25">
      <c r="A526">
        <v>2017</v>
      </c>
      <c r="B526" t="s">
        <v>508</v>
      </c>
    </row>
    <row r="527" spans="1:2" x14ac:dyDescent="0.25">
      <c r="A527">
        <v>2017</v>
      </c>
      <c r="B527" t="s">
        <v>509</v>
      </c>
    </row>
    <row r="528" spans="1:2" x14ac:dyDescent="0.25">
      <c r="A528">
        <v>2017</v>
      </c>
      <c r="B528" t="s">
        <v>510</v>
      </c>
    </row>
    <row r="529" spans="1:2" x14ac:dyDescent="0.25">
      <c r="A529">
        <v>2017</v>
      </c>
      <c r="B529" t="s">
        <v>511</v>
      </c>
    </row>
    <row r="530" spans="1:2" x14ac:dyDescent="0.25">
      <c r="A530">
        <v>2017</v>
      </c>
      <c r="B530" t="s">
        <v>512</v>
      </c>
    </row>
    <row r="531" spans="1:2" x14ac:dyDescent="0.25">
      <c r="A531">
        <v>2017</v>
      </c>
      <c r="B531" t="s">
        <v>513</v>
      </c>
    </row>
    <row r="532" spans="1:2" x14ac:dyDescent="0.25">
      <c r="A532">
        <v>2017</v>
      </c>
      <c r="B532" t="s">
        <v>514</v>
      </c>
    </row>
    <row r="533" spans="1:2" x14ac:dyDescent="0.25">
      <c r="A533">
        <v>2017</v>
      </c>
      <c r="B533" t="s">
        <v>515</v>
      </c>
    </row>
    <row r="534" spans="1:2" x14ac:dyDescent="0.25">
      <c r="A534">
        <v>2017</v>
      </c>
      <c r="B534" t="s">
        <v>516</v>
      </c>
    </row>
    <row r="535" spans="1:2" x14ac:dyDescent="0.25">
      <c r="A535">
        <v>2017</v>
      </c>
      <c r="B535" t="s">
        <v>517</v>
      </c>
    </row>
    <row r="536" spans="1:2" x14ac:dyDescent="0.25">
      <c r="A536">
        <v>2017</v>
      </c>
      <c r="B536" t="s">
        <v>518</v>
      </c>
    </row>
    <row r="537" spans="1:2" x14ac:dyDescent="0.25">
      <c r="A537">
        <v>2017</v>
      </c>
      <c r="B537" t="s">
        <v>519</v>
      </c>
    </row>
    <row r="538" spans="1:2" x14ac:dyDescent="0.25">
      <c r="A538">
        <v>2017</v>
      </c>
      <c r="B538" t="s">
        <v>520</v>
      </c>
    </row>
    <row r="539" spans="1:2" x14ac:dyDescent="0.25">
      <c r="A539">
        <v>2017</v>
      </c>
      <c r="B539" t="s">
        <v>521</v>
      </c>
    </row>
    <row r="540" spans="1:2" x14ac:dyDescent="0.25">
      <c r="A540">
        <v>2017</v>
      </c>
      <c r="B540" t="s">
        <v>522</v>
      </c>
    </row>
    <row r="541" spans="1:2" x14ac:dyDescent="0.25">
      <c r="A541">
        <v>2017</v>
      </c>
      <c r="B541" t="s">
        <v>523</v>
      </c>
    </row>
    <row r="542" spans="1:2" x14ac:dyDescent="0.25">
      <c r="A542">
        <v>2017</v>
      </c>
      <c r="B542" t="s">
        <v>524</v>
      </c>
    </row>
    <row r="543" spans="1:2" x14ac:dyDescent="0.25">
      <c r="A543">
        <v>2017</v>
      </c>
      <c r="B543" t="s">
        <v>525</v>
      </c>
    </row>
    <row r="544" spans="1:2" x14ac:dyDescent="0.25">
      <c r="A544">
        <v>2017</v>
      </c>
      <c r="B544" t="s">
        <v>526</v>
      </c>
    </row>
    <row r="545" spans="1:2" x14ac:dyDescent="0.25">
      <c r="A545">
        <v>2017</v>
      </c>
      <c r="B545" t="s">
        <v>527</v>
      </c>
    </row>
    <row r="546" spans="1:2" x14ac:dyDescent="0.25">
      <c r="A546">
        <v>2017</v>
      </c>
      <c r="B546" t="s">
        <v>528</v>
      </c>
    </row>
    <row r="547" spans="1:2" x14ac:dyDescent="0.25">
      <c r="A547">
        <v>2017</v>
      </c>
      <c r="B547" t="s">
        <v>529</v>
      </c>
    </row>
    <row r="548" spans="1:2" x14ac:dyDescent="0.25">
      <c r="A548">
        <v>2017</v>
      </c>
      <c r="B548" t="s">
        <v>530</v>
      </c>
    </row>
    <row r="549" spans="1:2" x14ac:dyDescent="0.25">
      <c r="A549">
        <v>2017</v>
      </c>
      <c r="B549" t="s">
        <v>531</v>
      </c>
    </row>
    <row r="550" spans="1:2" x14ac:dyDescent="0.25">
      <c r="A550">
        <v>2017</v>
      </c>
      <c r="B550" t="s">
        <v>532</v>
      </c>
    </row>
    <row r="551" spans="1:2" x14ac:dyDescent="0.25">
      <c r="A551">
        <v>2017</v>
      </c>
      <c r="B551" t="s">
        <v>533</v>
      </c>
    </row>
    <row r="552" spans="1:2" x14ac:dyDescent="0.25">
      <c r="A552">
        <v>2017</v>
      </c>
      <c r="B552" t="s">
        <v>534</v>
      </c>
    </row>
    <row r="553" spans="1:2" x14ac:dyDescent="0.25">
      <c r="A553">
        <v>2017</v>
      </c>
      <c r="B553" t="s">
        <v>535</v>
      </c>
    </row>
    <row r="554" spans="1:2" x14ac:dyDescent="0.25">
      <c r="A554">
        <v>2017</v>
      </c>
      <c r="B554" t="s">
        <v>536</v>
      </c>
    </row>
    <row r="555" spans="1:2" x14ac:dyDescent="0.25">
      <c r="A555">
        <v>2017</v>
      </c>
      <c r="B555" t="s">
        <v>537</v>
      </c>
    </row>
    <row r="556" spans="1:2" x14ac:dyDescent="0.25">
      <c r="A556">
        <v>2017</v>
      </c>
      <c r="B556" t="s">
        <v>538</v>
      </c>
    </row>
    <row r="557" spans="1:2" x14ac:dyDescent="0.25">
      <c r="A557">
        <v>2017</v>
      </c>
      <c r="B557" t="s">
        <v>539</v>
      </c>
    </row>
    <row r="558" spans="1:2" x14ac:dyDescent="0.25">
      <c r="A558">
        <v>2017</v>
      </c>
      <c r="B558" t="s">
        <v>540</v>
      </c>
    </row>
    <row r="559" spans="1:2" x14ac:dyDescent="0.25">
      <c r="A559">
        <v>2017</v>
      </c>
      <c r="B559" t="s">
        <v>541</v>
      </c>
    </row>
    <row r="560" spans="1:2" x14ac:dyDescent="0.25">
      <c r="A560">
        <v>2017</v>
      </c>
      <c r="B560" t="s">
        <v>542</v>
      </c>
    </row>
    <row r="561" spans="1:2" x14ac:dyDescent="0.25">
      <c r="A561">
        <v>2017</v>
      </c>
      <c r="B561" t="s">
        <v>543</v>
      </c>
    </row>
    <row r="562" spans="1:2" x14ac:dyDescent="0.25">
      <c r="A562">
        <v>2017</v>
      </c>
      <c r="B562" t="s">
        <v>544</v>
      </c>
    </row>
    <row r="563" spans="1:2" x14ac:dyDescent="0.25">
      <c r="A563">
        <v>2017</v>
      </c>
      <c r="B563" t="s">
        <v>545</v>
      </c>
    </row>
    <row r="564" spans="1:2" x14ac:dyDescent="0.25">
      <c r="A564">
        <v>2017</v>
      </c>
      <c r="B564" t="s">
        <v>546</v>
      </c>
    </row>
    <row r="565" spans="1:2" x14ac:dyDescent="0.25">
      <c r="A565">
        <v>2017</v>
      </c>
      <c r="B565" t="s">
        <v>547</v>
      </c>
    </row>
    <row r="566" spans="1:2" x14ac:dyDescent="0.25">
      <c r="A566">
        <v>2017</v>
      </c>
      <c r="B566" t="s">
        <v>548</v>
      </c>
    </row>
    <row r="567" spans="1:2" x14ac:dyDescent="0.25">
      <c r="A567">
        <v>2017</v>
      </c>
      <c r="B567" t="s">
        <v>549</v>
      </c>
    </row>
    <row r="568" spans="1:2" x14ac:dyDescent="0.25">
      <c r="A568">
        <v>2017</v>
      </c>
      <c r="B568" t="s">
        <v>550</v>
      </c>
    </row>
    <row r="569" spans="1:2" x14ac:dyDescent="0.25">
      <c r="A569">
        <v>2017</v>
      </c>
      <c r="B569" t="s">
        <v>551</v>
      </c>
    </row>
    <row r="570" spans="1:2" x14ac:dyDescent="0.25">
      <c r="A570">
        <v>2017</v>
      </c>
      <c r="B570" t="s">
        <v>552</v>
      </c>
    </row>
    <row r="571" spans="1:2" x14ac:dyDescent="0.25">
      <c r="A571">
        <v>2017</v>
      </c>
      <c r="B571" t="s">
        <v>553</v>
      </c>
    </row>
    <row r="572" spans="1:2" x14ac:dyDescent="0.25">
      <c r="A572">
        <v>2017</v>
      </c>
      <c r="B572" t="s">
        <v>554</v>
      </c>
    </row>
    <row r="573" spans="1:2" x14ac:dyDescent="0.25">
      <c r="A573">
        <v>2017</v>
      </c>
      <c r="B573" t="s">
        <v>555</v>
      </c>
    </row>
    <row r="574" spans="1:2" x14ac:dyDescent="0.25">
      <c r="A574">
        <v>2017</v>
      </c>
      <c r="B574" t="s">
        <v>556</v>
      </c>
    </row>
    <row r="575" spans="1:2" x14ac:dyDescent="0.25">
      <c r="A575">
        <v>2017</v>
      </c>
      <c r="B575" t="s">
        <v>557</v>
      </c>
    </row>
    <row r="576" spans="1:2" x14ac:dyDescent="0.25">
      <c r="A576">
        <v>2017</v>
      </c>
      <c r="B576" t="s">
        <v>558</v>
      </c>
    </row>
    <row r="577" spans="1:2" x14ac:dyDescent="0.25">
      <c r="A577">
        <v>2017</v>
      </c>
      <c r="B577" t="s">
        <v>559</v>
      </c>
    </row>
    <row r="578" spans="1:2" x14ac:dyDescent="0.25">
      <c r="A578">
        <v>2017</v>
      </c>
      <c r="B578" t="s">
        <v>560</v>
      </c>
    </row>
    <row r="579" spans="1:2" x14ac:dyDescent="0.25">
      <c r="A579">
        <v>2017</v>
      </c>
      <c r="B579" t="s">
        <v>561</v>
      </c>
    </row>
    <row r="580" spans="1:2" x14ac:dyDescent="0.25">
      <c r="A580">
        <v>2017</v>
      </c>
      <c r="B580" t="s">
        <v>562</v>
      </c>
    </row>
    <row r="581" spans="1:2" x14ac:dyDescent="0.25">
      <c r="A581">
        <v>2017</v>
      </c>
      <c r="B581" t="s">
        <v>563</v>
      </c>
    </row>
    <row r="582" spans="1:2" x14ac:dyDescent="0.25">
      <c r="A582">
        <v>2017</v>
      </c>
      <c r="B582" t="s">
        <v>564</v>
      </c>
    </row>
    <row r="583" spans="1:2" x14ac:dyDescent="0.25">
      <c r="A583">
        <v>2017</v>
      </c>
      <c r="B583" t="s">
        <v>565</v>
      </c>
    </row>
    <row r="584" spans="1:2" x14ac:dyDescent="0.25">
      <c r="A584">
        <v>2017</v>
      </c>
      <c r="B584" t="s">
        <v>566</v>
      </c>
    </row>
    <row r="585" spans="1:2" x14ac:dyDescent="0.25">
      <c r="A585">
        <v>2017</v>
      </c>
      <c r="B585" t="s">
        <v>567</v>
      </c>
    </row>
    <row r="586" spans="1:2" x14ac:dyDescent="0.25">
      <c r="A586">
        <v>2017</v>
      </c>
      <c r="B586" t="s">
        <v>568</v>
      </c>
    </row>
    <row r="587" spans="1:2" x14ac:dyDescent="0.25">
      <c r="A587">
        <v>2017</v>
      </c>
      <c r="B587" t="s">
        <v>569</v>
      </c>
    </row>
    <row r="588" spans="1:2" x14ac:dyDescent="0.25">
      <c r="A588">
        <v>2017</v>
      </c>
      <c r="B588" t="s">
        <v>570</v>
      </c>
    </row>
    <row r="589" spans="1:2" x14ac:dyDescent="0.25">
      <c r="A589">
        <v>2017</v>
      </c>
      <c r="B589" t="s">
        <v>571</v>
      </c>
    </row>
    <row r="590" spans="1:2" x14ac:dyDescent="0.25">
      <c r="A590">
        <v>2017</v>
      </c>
      <c r="B590" t="s">
        <v>572</v>
      </c>
    </row>
    <row r="591" spans="1:2" x14ac:dyDescent="0.25">
      <c r="A591">
        <v>2017</v>
      </c>
      <c r="B591" t="s">
        <v>573</v>
      </c>
    </row>
    <row r="592" spans="1:2" x14ac:dyDescent="0.25">
      <c r="A592">
        <v>2017</v>
      </c>
      <c r="B592" t="s">
        <v>574</v>
      </c>
    </row>
    <row r="593" spans="1:2" x14ac:dyDescent="0.25">
      <c r="A593">
        <v>2017</v>
      </c>
      <c r="B593" t="s">
        <v>575</v>
      </c>
    </row>
    <row r="594" spans="1:2" x14ac:dyDescent="0.25">
      <c r="A594">
        <v>2018</v>
      </c>
      <c r="B594" t="s">
        <v>68</v>
      </c>
    </row>
    <row r="595" spans="1:2" x14ac:dyDescent="0.25">
      <c r="A595">
        <v>2018</v>
      </c>
      <c r="B595" t="s">
        <v>576</v>
      </c>
    </row>
    <row r="596" spans="1:2" x14ac:dyDescent="0.25">
      <c r="A596">
        <v>2018</v>
      </c>
      <c r="B596" t="s">
        <v>577</v>
      </c>
    </row>
    <row r="597" spans="1:2" x14ac:dyDescent="0.25">
      <c r="A597">
        <v>2018</v>
      </c>
      <c r="B597" t="s">
        <v>578</v>
      </c>
    </row>
    <row r="598" spans="1:2" x14ac:dyDescent="0.25">
      <c r="A598">
        <v>2018</v>
      </c>
      <c r="B598" t="s">
        <v>579</v>
      </c>
    </row>
    <row r="599" spans="1:2" x14ac:dyDescent="0.25">
      <c r="A599">
        <v>2018</v>
      </c>
      <c r="B599" t="s">
        <v>70</v>
      </c>
    </row>
    <row r="600" spans="1:2" x14ac:dyDescent="0.25">
      <c r="A600">
        <v>2018</v>
      </c>
      <c r="B600" t="s">
        <v>580</v>
      </c>
    </row>
    <row r="601" spans="1:2" x14ac:dyDescent="0.25">
      <c r="A601">
        <v>2018</v>
      </c>
      <c r="B601" t="s">
        <v>71</v>
      </c>
    </row>
    <row r="602" spans="1:2" x14ac:dyDescent="0.25">
      <c r="A602">
        <v>2018</v>
      </c>
      <c r="B602" t="s">
        <v>581</v>
      </c>
    </row>
    <row r="603" spans="1:2" x14ac:dyDescent="0.25">
      <c r="A603">
        <v>2018</v>
      </c>
      <c r="B603" t="s">
        <v>72</v>
      </c>
    </row>
    <row r="604" spans="1:2" x14ac:dyDescent="0.25">
      <c r="A604">
        <v>2018</v>
      </c>
      <c r="B604" t="s">
        <v>582</v>
      </c>
    </row>
    <row r="605" spans="1:2" x14ac:dyDescent="0.25">
      <c r="A605">
        <v>2018</v>
      </c>
      <c r="B605" t="s">
        <v>583</v>
      </c>
    </row>
    <row r="606" spans="1:2" x14ac:dyDescent="0.25">
      <c r="A606">
        <v>2018</v>
      </c>
      <c r="B606" t="s">
        <v>75</v>
      </c>
    </row>
    <row r="607" spans="1:2" x14ac:dyDescent="0.25">
      <c r="A607">
        <v>2018</v>
      </c>
      <c r="B607" t="s">
        <v>76</v>
      </c>
    </row>
    <row r="608" spans="1:2" x14ac:dyDescent="0.25">
      <c r="A608">
        <v>2018</v>
      </c>
      <c r="B608" t="s">
        <v>81</v>
      </c>
    </row>
    <row r="609" spans="1:2" x14ac:dyDescent="0.25">
      <c r="A609">
        <v>2018</v>
      </c>
      <c r="B609" t="s">
        <v>584</v>
      </c>
    </row>
    <row r="610" spans="1:2" x14ac:dyDescent="0.25">
      <c r="A610">
        <v>2018</v>
      </c>
      <c r="B610" t="s">
        <v>585</v>
      </c>
    </row>
    <row r="611" spans="1:2" x14ac:dyDescent="0.25">
      <c r="A611">
        <v>2018</v>
      </c>
      <c r="B611" t="s">
        <v>84</v>
      </c>
    </row>
    <row r="612" spans="1:2" x14ac:dyDescent="0.25">
      <c r="A612">
        <v>2018</v>
      </c>
      <c r="B612" t="s">
        <v>586</v>
      </c>
    </row>
    <row r="613" spans="1:2" x14ac:dyDescent="0.25">
      <c r="A613">
        <v>2018</v>
      </c>
      <c r="B613" t="s">
        <v>86</v>
      </c>
    </row>
    <row r="614" spans="1:2" x14ac:dyDescent="0.25">
      <c r="A614">
        <v>2018</v>
      </c>
      <c r="B614" t="s">
        <v>87</v>
      </c>
    </row>
    <row r="615" spans="1:2" x14ac:dyDescent="0.25">
      <c r="A615">
        <v>2018</v>
      </c>
      <c r="B615" t="s">
        <v>88</v>
      </c>
    </row>
    <row r="616" spans="1:2" x14ac:dyDescent="0.25">
      <c r="A616">
        <v>2018</v>
      </c>
      <c r="B616" t="s">
        <v>89</v>
      </c>
    </row>
    <row r="617" spans="1:2" x14ac:dyDescent="0.25">
      <c r="A617">
        <v>2018</v>
      </c>
      <c r="B617" t="s">
        <v>587</v>
      </c>
    </row>
    <row r="618" spans="1:2" x14ac:dyDescent="0.25">
      <c r="A618">
        <v>2018</v>
      </c>
      <c r="B618" t="s">
        <v>91</v>
      </c>
    </row>
    <row r="619" spans="1:2" x14ac:dyDescent="0.25">
      <c r="A619">
        <v>2018</v>
      </c>
      <c r="B619" t="s">
        <v>93</v>
      </c>
    </row>
    <row r="620" spans="1:2" x14ac:dyDescent="0.25">
      <c r="A620">
        <v>2018</v>
      </c>
      <c r="B620" t="s">
        <v>588</v>
      </c>
    </row>
    <row r="621" spans="1:2" x14ac:dyDescent="0.25">
      <c r="A621">
        <v>2018</v>
      </c>
      <c r="B621" t="s">
        <v>94</v>
      </c>
    </row>
    <row r="622" spans="1:2" x14ac:dyDescent="0.25">
      <c r="A622">
        <v>2018</v>
      </c>
      <c r="B622" t="s">
        <v>95</v>
      </c>
    </row>
    <row r="623" spans="1:2" x14ac:dyDescent="0.25">
      <c r="A623">
        <v>2018</v>
      </c>
      <c r="B623" t="s">
        <v>589</v>
      </c>
    </row>
    <row r="624" spans="1:2" x14ac:dyDescent="0.25">
      <c r="A624">
        <v>2018</v>
      </c>
      <c r="B624" t="s">
        <v>98</v>
      </c>
    </row>
    <row r="625" spans="1:2" x14ac:dyDescent="0.25">
      <c r="A625">
        <v>2018</v>
      </c>
      <c r="B625" t="s">
        <v>99</v>
      </c>
    </row>
    <row r="626" spans="1:2" x14ac:dyDescent="0.25">
      <c r="A626">
        <v>2018</v>
      </c>
      <c r="B626" t="s">
        <v>590</v>
      </c>
    </row>
    <row r="627" spans="1:2" x14ac:dyDescent="0.25">
      <c r="A627">
        <v>2018</v>
      </c>
      <c r="B627" t="s">
        <v>106</v>
      </c>
    </row>
    <row r="628" spans="1:2" x14ac:dyDescent="0.25">
      <c r="A628">
        <v>2018</v>
      </c>
      <c r="B628" t="s">
        <v>108</v>
      </c>
    </row>
    <row r="629" spans="1:2" x14ac:dyDescent="0.25">
      <c r="A629">
        <v>2018</v>
      </c>
      <c r="B629" t="s">
        <v>109</v>
      </c>
    </row>
    <row r="630" spans="1:2" x14ac:dyDescent="0.25">
      <c r="A630">
        <v>2018</v>
      </c>
      <c r="B630" t="s">
        <v>591</v>
      </c>
    </row>
    <row r="631" spans="1:2" x14ac:dyDescent="0.25">
      <c r="A631">
        <v>2018</v>
      </c>
      <c r="B631" t="s">
        <v>111</v>
      </c>
    </row>
    <row r="632" spans="1:2" x14ac:dyDescent="0.25">
      <c r="A632">
        <v>2018</v>
      </c>
      <c r="B632" t="s">
        <v>112</v>
      </c>
    </row>
    <row r="633" spans="1:2" x14ac:dyDescent="0.25">
      <c r="A633">
        <v>2018</v>
      </c>
      <c r="B633" t="s">
        <v>592</v>
      </c>
    </row>
    <row r="634" spans="1:2" x14ac:dyDescent="0.25">
      <c r="A634">
        <v>2018</v>
      </c>
      <c r="B634" t="s">
        <v>593</v>
      </c>
    </row>
    <row r="635" spans="1:2" x14ac:dyDescent="0.25">
      <c r="A635">
        <v>2018</v>
      </c>
      <c r="B635" t="s">
        <v>594</v>
      </c>
    </row>
    <row r="636" spans="1:2" x14ac:dyDescent="0.25">
      <c r="A636">
        <v>2018</v>
      </c>
      <c r="B636" t="s">
        <v>595</v>
      </c>
    </row>
    <row r="637" spans="1:2" x14ac:dyDescent="0.25">
      <c r="A637">
        <v>2018</v>
      </c>
      <c r="B637" t="s">
        <v>596</v>
      </c>
    </row>
    <row r="638" spans="1:2" x14ac:dyDescent="0.25">
      <c r="A638">
        <v>2018</v>
      </c>
      <c r="B638" t="s">
        <v>116</v>
      </c>
    </row>
    <row r="639" spans="1:2" x14ac:dyDescent="0.25">
      <c r="A639">
        <v>2018</v>
      </c>
      <c r="B639" t="s">
        <v>117</v>
      </c>
    </row>
    <row r="640" spans="1:2" x14ac:dyDescent="0.25">
      <c r="A640">
        <v>2018</v>
      </c>
      <c r="B640" t="s">
        <v>597</v>
      </c>
    </row>
    <row r="641" spans="1:2" x14ac:dyDescent="0.25">
      <c r="A641">
        <v>2018</v>
      </c>
      <c r="B641" t="s">
        <v>598</v>
      </c>
    </row>
    <row r="642" spans="1:2" x14ac:dyDescent="0.25">
      <c r="A642">
        <v>2018</v>
      </c>
      <c r="B642" t="s">
        <v>118</v>
      </c>
    </row>
    <row r="643" spans="1:2" x14ac:dyDescent="0.25">
      <c r="A643">
        <v>2018</v>
      </c>
      <c r="B643" t="s">
        <v>599</v>
      </c>
    </row>
    <row r="644" spans="1:2" x14ac:dyDescent="0.25">
      <c r="A644">
        <v>2018</v>
      </c>
      <c r="B644" t="s">
        <v>600</v>
      </c>
    </row>
    <row r="645" spans="1:2" x14ac:dyDescent="0.25">
      <c r="A645">
        <v>2018</v>
      </c>
      <c r="B645" t="s">
        <v>601</v>
      </c>
    </row>
    <row r="646" spans="1:2" x14ac:dyDescent="0.25">
      <c r="A646">
        <v>2018</v>
      </c>
      <c r="B646" t="s">
        <v>602</v>
      </c>
    </row>
    <row r="647" spans="1:2" x14ac:dyDescent="0.25">
      <c r="A647">
        <v>2018</v>
      </c>
      <c r="B647" t="s">
        <v>122</v>
      </c>
    </row>
    <row r="648" spans="1:2" x14ac:dyDescent="0.25">
      <c r="A648">
        <v>2018</v>
      </c>
      <c r="B648" t="s">
        <v>603</v>
      </c>
    </row>
    <row r="649" spans="1:2" x14ac:dyDescent="0.25">
      <c r="A649">
        <v>2018</v>
      </c>
      <c r="B649" t="s">
        <v>123</v>
      </c>
    </row>
    <row r="650" spans="1:2" x14ac:dyDescent="0.25">
      <c r="A650">
        <v>2018</v>
      </c>
      <c r="B650" t="s">
        <v>604</v>
      </c>
    </row>
    <row r="651" spans="1:2" x14ac:dyDescent="0.25">
      <c r="A651">
        <v>2018</v>
      </c>
      <c r="B651" t="s">
        <v>605</v>
      </c>
    </row>
    <row r="652" spans="1:2" x14ac:dyDescent="0.25">
      <c r="A652">
        <v>2018</v>
      </c>
      <c r="B652" t="s">
        <v>127</v>
      </c>
    </row>
    <row r="653" spans="1:2" x14ac:dyDescent="0.25">
      <c r="A653">
        <v>2018</v>
      </c>
      <c r="B653" t="s">
        <v>606</v>
      </c>
    </row>
    <row r="654" spans="1:2" x14ac:dyDescent="0.25">
      <c r="A654">
        <v>2018</v>
      </c>
      <c r="B654" t="s">
        <v>130</v>
      </c>
    </row>
    <row r="655" spans="1:2" x14ac:dyDescent="0.25">
      <c r="A655">
        <v>2018</v>
      </c>
      <c r="B655" t="s">
        <v>607</v>
      </c>
    </row>
    <row r="656" spans="1:2" x14ac:dyDescent="0.25">
      <c r="A656">
        <v>2018</v>
      </c>
      <c r="B656" t="s">
        <v>131</v>
      </c>
    </row>
    <row r="657" spans="1:2" x14ac:dyDescent="0.25">
      <c r="A657">
        <v>2018</v>
      </c>
      <c r="B657" t="s">
        <v>608</v>
      </c>
    </row>
    <row r="658" spans="1:2" x14ac:dyDescent="0.25">
      <c r="A658">
        <v>2018</v>
      </c>
      <c r="B658" t="s">
        <v>609</v>
      </c>
    </row>
    <row r="659" spans="1:2" x14ac:dyDescent="0.25">
      <c r="A659">
        <v>2018</v>
      </c>
      <c r="B659" t="s">
        <v>133</v>
      </c>
    </row>
    <row r="660" spans="1:2" x14ac:dyDescent="0.25">
      <c r="A660">
        <v>2018</v>
      </c>
      <c r="B660" t="s">
        <v>610</v>
      </c>
    </row>
    <row r="661" spans="1:2" x14ac:dyDescent="0.25">
      <c r="A661">
        <v>2018</v>
      </c>
      <c r="B661" t="s">
        <v>611</v>
      </c>
    </row>
    <row r="662" spans="1:2" x14ac:dyDescent="0.25">
      <c r="A662">
        <v>2018</v>
      </c>
      <c r="B662" t="s">
        <v>612</v>
      </c>
    </row>
    <row r="663" spans="1:2" x14ac:dyDescent="0.25">
      <c r="A663">
        <v>2018</v>
      </c>
      <c r="B663" t="s">
        <v>613</v>
      </c>
    </row>
    <row r="664" spans="1:2" x14ac:dyDescent="0.25">
      <c r="A664">
        <v>2018</v>
      </c>
      <c r="B664" t="s">
        <v>614</v>
      </c>
    </row>
    <row r="665" spans="1:2" x14ac:dyDescent="0.25">
      <c r="A665">
        <v>2018</v>
      </c>
      <c r="B665" t="s">
        <v>615</v>
      </c>
    </row>
    <row r="666" spans="1:2" x14ac:dyDescent="0.25">
      <c r="A666">
        <v>2018</v>
      </c>
      <c r="B666" t="s">
        <v>616</v>
      </c>
    </row>
    <row r="667" spans="1:2" x14ac:dyDescent="0.25">
      <c r="A667">
        <v>2018</v>
      </c>
      <c r="B667" t="s">
        <v>617</v>
      </c>
    </row>
    <row r="668" spans="1:2" x14ac:dyDescent="0.25">
      <c r="A668">
        <v>2018</v>
      </c>
      <c r="B668" t="s">
        <v>140</v>
      </c>
    </row>
    <row r="669" spans="1:2" x14ac:dyDescent="0.25">
      <c r="A669">
        <v>2018</v>
      </c>
      <c r="B669" t="s">
        <v>143</v>
      </c>
    </row>
    <row r="670" spans="1:2" x14ac:dyDescent="0.25">
      <c r="A670">
        <v>2018</v>
      </c>
      <c r="B670" t="s">
        <v>618</v>
      </c>
    </row>
    <row r="671" spans="1:2" x14ac:dyDescent="0.25">
      <c r="A671">
        <v>2018</v>
      </c>
      <c r="B671" t="s">
        <v>619</v>
      </c>
    </row>
    <row r="672" spans="1:2" x14ac:dyDescent="0.25">
      <c r="A672">
        <v>2018</v>
      </c>
      <c r="B672" t="s">
        <v>620</v>
      </c>
    </row>
    <row r="673" spans="1:2" x14ac:dyDescent="0.25">
      <c r="A673">
        <v>2018</v>
      </c>
      <c r="B673" t="s">
        <v>144</v>
      </c>
    </row>
    <row r="674" spans="1:2" x14ac:dyDescent="0.25">
      <c r="A674">
        <v>2018</v>
      </c>
      <c r="B674" t="s">
        <v>145</v>
      </c>
    </row>
    <row r="675" spans="1:2" x14ac:dyDescent="0.25">
      <c r="A675">
        <v>2018</v>
      </c>
      <c r="B675" t="s">
        <v>146</v>
      </c>
    </row>
    <row r="676" spans="1:2" x14ac:dyDescent="0.25">
      <c r="A676">
        <v>2018</v>
      </c>
      <c r="B676" t="s">
        <v>621</v>
      </c>
    </row>
    <row r="677" spans="1:2" x14ac:dyDescent="0.25">
      <c r="A677">
        <v>2018</v>
      </c>
      <c r="B677" t="s">
        <v>622</v>
      </c>
    </row>
    <row r="678" spans="1:2" x14ac:dyDescent="0.25">
      <c r="A678">
        <v>2018</v>
      </c>
      <c r="B678" t="s">
        <v>623</v>
      </c>
    </row>
    <row r="679" spans="1:2" x14ac:dyDescent="0.25">
      <c r="A679">
        <v>2018</v>
      </c>
      <c r="B679" t="s">
        <v>624</v>
      </c>
    </row>
    <row r="680" spans="1:2" x14ac:dyDescent="0.25">
      <c r="A680">
        <v>2018</v>
      </c>
      <c r="B680" t="s">
        <v>625</v>
      </c>
    </row>
    <row r="681" spans="1:2" x14ac:dyDescent="0.25">
      <c r="A681">
        <v>2018</v>
      </c>
      <c r="B681" t="s">
        <v>626</v>
      </c>
    </row>
    <row r="682" spans="1:2" x14ac:dyDescent="0.25">
      <c r="A682">
        <v>2018</v>
      </c>
      <c r="B682" t="s">
        <v>627</v>
      </c>
    </row>
    <row r="683" spans="1:2" x14ac:dyDescent="0.25">
      <c r="A683">
        <v>2018</v>
      </c>
      <c r="B683" t="s">
        <v>148</v>
      </c>
    </row>
    <row r="684" spans="1:2" x14ac:dyDescent="0.25">
      <c r="A684">
        <v>2018</v>
      </c>
      <c r="B684" t="s">
        <v>628</v>
      </c>
    </row>
    <row r="685" spans="1:2" x14ac:dyDescent="0.25">
      <c r="A685">
        <v>2018</v>
      </c>
      <c r="B685" t="s">
        <v>629</v>
      </c>
    </row>
    <row r="686" spans="1:2" x14ac:dyDescent="0.25">
      <c r="A686">
        <v>2018</v>
      </c>
      <c r="B686" t="s">
        <v>149</v>
      </c>
    </row>
    <row r="687" spans="1:2" x14ac:dyDescent="0.25">
      <c r="A687">
        <v>2018</v>
      </c>
      <c r="B687" t="s">
        <v>630</v>
      </c>
    </row>
    <row r="688" spans="1:2" x14ac:dyDescent="0.25">
      <c r="A688">
        <v>2018</v>
      </c>
      <c r="B688" t="s">
        <v>151</v>
      </c>
    </row>
    <row r="689" spans="1:2" x14ac:dyDescent="0.25">
      <c r="A689">
        <v>2018</v>
      </c>
      <c r="B689" t="s">
        <v>152</v>
      </c>
    </row>
    <row r="690" spans="1:2" x14ac:dyDescent="0.25">
      <c r="A690">
        <v>2018</v>
      </c>
      <c r="B690" t="s">
        <v>631</v>
      </c>
    </row>
    <row r="691" spans="1:2" x14ac:dyDescent="0.25">
      <c r="A691">
        <v>2018</v>
      </c>
      <c r="B691" t="s">
        <v>156</v>
      </c>
    </row>
    <row r="692" spans="1:2" x14ac:dyDescent="0.25">
      <c r="A692">
        <v>2018</v>
      </c>
      <c r="B692" t="s">
        <v>157</v>
      </c>
    </row>
    <row r="693" spans="1:2" x14ac:dyDescent="0.25">
      <c r="A693">
        <v>2018</v>
      </c>
      <c r="B693" t="s">
        <v>632</v>
      </c>
    </row>
    <row r="694" spans="1:2" x14ac:dyDescent="0.25">
      <c r="A694">
        <v>2018</v>
      </c>
      <c r="B694" t="s">
        <v>633</v>
      </c>
    </row>
    <row r="695" spans="1:2" x14ac:dyDescent="0.25">
      <c r="A695">
        <v>2018</v>
      </c>
      <c r="B695" t="s">
        <v>634</v>
      </c>
    </row>
    <row r="696" spans="1:2" x14ac:dyDescent="0.25">
      <c r="A696">
        <v>2018</v>
      </c>
      <c r="B696" t="s">
        <v>635</v>
      </c>
    </row>
    <row r="697" spans="1:2" x14ac:dyDescent="0.25">
      <c r="A697">
        <v>2018</v>
      </c>
      <c r="B697" t="s">
        <v>160</v>
      </c>
    </row>
    <row r="698" spans="1:2" x14ac:dyDescent="0.25">
      <c r="A698">
        <v>2018</v>
      </c>
      <c r="B698" t="s">
        <v>636</v>
      </c>
    </row>
    <row r="699" spans="1:2" x14ac:dyDescent="0.25">
      <c r="A699">
        <v>2018</v>
      </c>
      <c r="B699" t="s">
        <v>161</v>
      </c>
    </row>
    <row r="700" spans="1:2" x14ac:dyDescent="0.25">
      <c r="A700">
        <v>2018</v>
      </c>
      <c r="B700" t="s">
        <v>637</v>
      </c>
    </row>
    <row r="701" spans="1:2" x14ac:dyDescent="0.25">
      <c r="A701">
        <v>2018</v>
      </c>
      <c r="B701" t="s">
        <v>162</v>
      </c>
    </row>
    <row r="702" spans="1:2" x14ac:dyDescent="0.25">
      <c r="A702">
        <v>2018</v>
      </c>
      <c r="B702" t="s">
        <v>163</v>
      </c>
    </row>
    <row r="703" spans="1:2" x14ac:dyDescent="0.25">
      <c r="A703">
        <v>2018</v>
      </c>
      <c r="B703" t="s">
        <v>165</v>
      </c>
    </row>
    <row r="704" spans="1:2" x14ac:dyDescent="0.25">
      <c r="A704">
        <v>2018</v>
      </c>
      <c r="B704" t="s">
        <v>638</v>
      </c>
    </row>
    <row r="705" spans="1:2" x14ac:dyDescent="0.25">
      <c r="A705">
        <v>2018</v>
      </c>
      <c r="B705" t="s">
        <v>169</v>
      </c>
    </row>
    <row r="706" spans="1:2" x14ac:dyDescent="0.25">
      <c r="A706">
        <v>2018</v>
      </c>
      <c r="B706" t="s">
        <v>639</v>
      </c>
    </row>
    <row r="707" spans="1:2" x14ac:dyDescent="0.25">
      <c r="A707">
        <v>2018</v>
      </c>
      <c r="B707" t="s">
        <v>640</v>
      </c>
    </row>
    <row r="708" spans="1:2" x14ac:dyDescent="0.25">
      <c r="A708">
        <v>2018</v>
      </c>
      <c r="B708" t="s">
        <v>173</v>
      </c>
    </row>
    <row r="709" spans="1:2" x14ac:dyDescent="0.25">
      <c r="A709">
        <v>2018</v>
      </c>
      <c r="B709" t="s">
        <v>641</v>
      </c>
    </row>
    <row r="710" spans="1:2" x14ac:dyDescent="0.25">
      <c r="A710">
        <v>2018</v>
      </c>
      <c r="B710" t="s">
        <v>642</v>
      </c>
    </row>
    <row r="711" spans="1:2" x14ac:dyDescent="0.25">
      <c r="A711">
        <v>2018</v>
      </c>
      <c r="B711" t="s">
        <v>174</v>
      </c>
    </row>
    <row r="712" spans="1:2" x14ac:dyDescent="0.25">
      <c r="A712">
        <v>2018</v>
      </c>
      <c r="B712" t="s">
        <v>177</v>
      </c>
    </row>
    <row r="713" spans="1:2" x14ac:dyDescent="0.25">
      <c r="A713">
        <v>2018</v>
      </c>
      <c r="B713" t="s">
        <v>643</v>
      </c>
    </row>
    <row r="714" spans="1:2" x14ac:dyDescent="0.25">
      <c r="A714">
        <v>2018</v>
      </c>
      <c r="B714" t="s">
        <v>644</v>
      </c>
    </row>
    <row r="715" spans="1:2" x14ac:dyDescent="0.25">
      <c r="A715">
        <v>2018</v>
      </c>
      <c r="B715" t="s">
        <v>645</v>
      </c>
    </row>
    <row r="716" spans="1:2" x14ac:dyDescent="0.25">
      <c r="A716">
        <v>2018</v>
      </c>
      <c r="B716" t="s">
        <v>646</v>
      </c>
    </row>
    <row r="717" spans="1:2" x14ac:dyDescent="0.25">
      <c r="A717">
        <v>2018</v>
      </c>
      <c r="B717" t="s">
        <v>178</v>
      </c>
    </row>
    <row r="718" spans="1:2" x14ac:dyDescent="0.25">
      <c r="A718">
        <v>2018</v>
      </c>
      <c r="B718" t="s">
        <v>647</v>
      </c>
    </row>
    <row r="719" spans="1:2" x14ac:dyDescent="0.25">
      <c r="A719">
        <v>2018</v>
      </c>
      <c r="B719" t="s">
        <v>179</v>
      </c>
    </row>
    <row r="720" spans="1:2" x14ac:dyDescent="0.25">
      <c r="A720">
        <v>2018</v>
      </c>
      <c r="B720" t="s">
        <v>648</v>
      </c>
    </row>
    <row r="721" spans="1:2" x14ac:dyDescent="0.25">
      <c r="A721">
        <v>2018</v>
      </c>
      <c r="B721" t="s">
        <v>649</v>
      </c>
    </row>
    <row r="722" spans="1:2" x14ac:dyDescent="0.25">
      <c r="A722">
        <v>2018</v>
      </c>
      <c r="B722" t="s">
        <v>180</v>
      </c>
    </row>
    <row r="723" spans="1:2" x14ac:dyDescent="0.25">
      <c r="A723">
        <v>2018</v>
      </c>
      <c r="B723" t="s">
        <v>181</v>
      </c>
    </row>
    <row r="724" spans="1:2" x14ac:dyDescent="0.25">
      <c r="A724">
        <v>2018</v>
      </c>
      <c r="B724" t="s">
        <v>650</v>
      </c>
    </row>
    <row r="725" spans="1:2" x14ac:dyDescent="0.25">
      <c r="A725">
        <v>2018</v>
      </c>
      <c r="B725" t="s">
        <v>182</v>
      </c>
    </row>
    <row r="726" spans="1:2" x14ac:dyDescent="0.25">
      <c r="A726">
        <v>2018</v>
      </c>
      <c r="B726" t="s">
        <v>651</v>
      </c>
    </row>
    <row r="727" spans="1:2" x14ac:dyDescent="0.25">
      <c r="A727">
        <v>2018</v>
      </c>
      <c r="B727" t="s">
        <v>652</v>
      </c>
    </row>
    <row r="728" spans="1:2" x14ac:dyDescent="0.25">
      <c r="A728">
        <v>2018</v>
      </c>
      <c r="B728" t="s">
        <v>185</v>
      </c>
    </row>
    <row r="729" spans="1:2" x14ac:dyDescent="0.25">
      <c r="A729">
        <v>2018</v>
      </c>
      <c r="B729" t="s">
        <v>653</v>
      </c>
    </row>
    <row r="730" spans="1:2" x14ac:dyDescent="0.25">
      <c r="A730">
        <v>2018</v>
      </c>
      <c r="B730" t="s">
        <v>654</v>
      </c>
    </row>
    <row r="731" spans="1:2" x14ac:dyDescent="0.25">
      <c r="A731">
        <v>2018</v>
      </c>
      <c r="B731" t="s">
        <v>191</v>
      </c>
    </row>
    <row r="732" spans="1:2" x14ac:dyDescent="0.25">
      <c r="A732">
        <v>2018</v>
      </c>
      <c r="B732" t="s">
        <v>192</v>
      </c>
    </row>
    <row r="733" spans="1:2" x14ac:dyDescent="0.25">
      <c r="A733">
        <v>2018</v>
      </c>
      <c r="B733" t="s">
        <v>655</v>
      </c>
    </row>
    <row r="734" spans="1:2" x14ac:dyDescent="0.25">
      <c r="A734">
        <v>2018</v>
      </c>
      <c r="B734" t="s">
        <v>656</v>
      </c>
    </row>
    <row r="735" spans="1:2" x14ac:dyDescent="0.25">
      <c r="A735">
        <v>2018</v>
      </c>
      <c r="B735" t="s">
        <v>657</v>
      </c>
    </row>
    <row r="736" spans="1:2" x14ac:dyDescent="0.25">
      <c r="A736">
        <v>2018</v>
      </c>
      <c r="B736" t="s">
        <v>195</v>
      </c>
    </row>
    <row r="737" spans="1:2" x14ac:dyDescent="0.25">
      <c r="A737">
        <v>2018</v>
      </c>
      <c r="B737" t="s">
        <v>658</v>
      </c>
    </row>
    <row r="738" spans="1:2" x14ac:dyDescent="0.25">
      <c r="A738">
        <v>2018</v>
      </c>
      <c r="B738" t="s">
        <v>196</v>
      </c>
    </row>
    <row r="739" spans="1:2" x14ac:dyDescent="0.25">
      <c r="A739">
        <v>2018</v>
      </c>
      <c r="B739" t="s">
        <v>659</v>
      </c>
    </row>
    <row r="740" spans="1:2" x14ac:dyDescent="0.25">
      <c r="A740">
        <v>2018</v>
      </c>
      <c r="B740" t="s">
        <v>660</v>
      </c>
    </row>
    <row r="741" spans="1:2" x14ac:dyDescent="0.25">
      <c r="A741">
        <v>2018</v>
      </c>
      <c r="B741" t="s">
        <v>661</v>
      </c>
    </row>
    <row r="742" spans="1:2" x14ac:dyDescent="0.25">
      <c r="A742">
        <v>2018</v>
      </c>
      <c r="B742" t="s">
        <v>662</v>
      </c>
    </row>
    <row r="743" spans="1:2" x14ac:dyDescent="0.25">
      <c r="A743">
        <v>2018</v>
      </c>
      <c r="B743" t="s">
        <v>663</v>
      </c>
    </row>
    <row r="744" spans="1:2" x14ac:dyDescent="0.25">
      <c r="A744">
        <v>2018</v>
      </c>
      <c r="B744" t="s">
        <v>200</v>
      </c>
    </row>
    <row r="745" spans="1:2" x14ac:dyDescent="0.25">
      <c r="A745">
        <v>2018</v>
      </c>
      <c r="B745" t="s">
        <v>664</v>
      </c>
    </row>
    <row r="746" spans="1:2" x14ac:dyDescent="0.25">
      <c r="A746">
        <v>2018</v>
      </c>
      <c r="B746" t="s">
        <v>201</v>
      </c>
    </row>
    <row r="747" spans="1:2" x14ac:dyDescent="0.25">
      <c r="A747">
        <v>2018</v>
      </c>
      <c r="B747" t="s">
        <v>202</v>
      </c>
    </row>
    <row r="748" spans="1:2" x14ac:dyDescent="0.25">
      <c r="A748">
        <v>2018</v>
      </c>
      <c r="B748" t="s">
        <v>203</v>
      </c>
    </row>
    <row r="749" spans="1:2" x14ac:dyDescent="0.25">
      <c r="A749">
        <v>2018</v>
      </c>
      <c r="B749" t="s">
        <v>204</v>
      </c>
    </row>
    <row r="750" spans="1:2" x14ac:dyDescent="0.25">
      <c r="A750">
        <v>2018</v>
      </c>
      <c r="B750" t="s">
        <v>206</v>
      </c>
    </row>
    <row r="751" spans="1:2" x14ac:dyDescent="0.25">
      <c r="A751">
        <v>2018</v>
      </c>
      <c r="B751" t="s">
        <v>207</v>
      </c>
    </row>
    <row r="752" spans="1:2" x14ac:dyDescent="0.25">
      <c r="A752">
        <v>2018</v>
      </c>
      <c r="B752" t="s">
        <v>208</v>
      </c>
    </row>
    <row r="753" spans="1:2" x14ac:dyDescent="0.25">
      <c r="A753">
        <v>2018</v>
      </c>
      <c r="B753" t="s">
        <v>665</v>
      </c>
    </row>
    <row r="754" spans="1:2" x14ac:dyDescent="0.25">
      <c r="A754">
        <v>2018</v>
      </c>
      <c r="B754" t="s">
        <v>666</v>
      </c>
    </row>
    <row r="755" spans="1:2" x14ac:dyDescent="0.25">
      <c r="A755">
        <v>2018</v>
      </c>
      <c r="B755" t="s">
        <v>209</v>
      </c>
    </row>
    <row r="756" spans="1:2" x14ac:dyDescent="0.25">
      <c r="A756">
        <v>2018</v>
      </c>
      <c r="B756" t="s">
        <v>667</v>
      </c>
    </row>
    <row r="757" spans="1:2" x14ac:dyDescent="0.25">
      <c r="A757">
        <v>2018</v>
      </c>
      <c r="B757" t="s">
        <v>212</v>
      </c>
    </row>
    <row r="758" spans="1:2" x14ac:dyDescent="0.25">
      <c r="A758">
        <v>2018</v>
      </c>
      <c r="B758" t="s">
        <v>214</v>
      </c>
    </row>
    <row r="759" spans="1:2" x14ac:dyDescent="0.25">
      <c r="A759">
        <v>2018</v>
      </c>
      <c r="B759" t="s">
        <v>215</v>
      </c>
    </row>
    <row r="760" spans="1:2" x14ac:dyDescent="0.25">
      <c r="A760">
        <v>2018</v>
      </c>
      <c r="B760" t="s">
        <v>216</v>
      </c>
    </row>
    <row r="761" spans="1:2" x14ac:dyDescent="0.25">
      <c r="A761">
        <v>2018</v>
      </c>
      <c r="B761" t="s">
        <v>217</v>
      </c>
    </row>
    <row r="762" spans="1:2" x14ac:dyDescent="0.25">
      <c r="A762">
        <v>2018</v>
      </c>
      <c r="B762" t="s">
        <v>218</v>
      </c>
    </row>
    <row r="763" spans="1:2" x14ac:dyDescent="0.25">
      <c r="A763">
        <v>2018</v>
      </c>
      <c r="B763" t="s">
        <v>220</v>
      </c>
    </row>
    <row r="764" spans="1:2" x14ac:dyDescent="0.25">
      <c r="A764">
        <v>2018</v>
      </c>
      <c r="B764" t="s">
        <v>221</v>
      </c>
    </row>
    <row r="765" spans="1:2" x14ac:dyDescent="0.25">
      <c r="A765">
        <v>2018</v>
      </c>
      <c r="B765" t="s">
        <v>222</v>
      </c>
    </row>
    <row r="766" spans="1:2" x14ac:dyDescent="0.25">
      <c r="A766">
        <v>2018</v>
      </c>
      <c r="B766" t="s">
        <v>668</v>
      </c>
    </row>
    <row r="767" spans="1:2" x14ac:dyDescent="0.25">
      <c r="A767">
        <v>2018</v>
      </c>
      <c r="B767" t="s">
        <v>669</v>
      </c>
    </row>
    <row r="768" spans="1:2" x14ac:dyDescent="0.25">
      <c r="A768">
        <v>2018</v>
      </c>
      <c r="B768" t="s">
        <v>223</v>
      </c>
    </row>
    <row r="769" spans="1:2" x14ac:dyDescent="0.25">
      <c r="A769">
        <v>2018</v>
      </c>
      <c r="B769" t="s">
        <v>226</v>
      </c>
    </row>
    <row r="770" spans="1:2" x14ac:dyDescent="0.25">
      <c r="A770">
        <v>2018</v>
      </c>
      <c r="B770" t="s">
        <v>227</v>
      </c>
    </row>
    <row r="771" spans="1:2" x14ac:dyDescent="0.25">
      <c r="A771">
        <v>2018</v>
      </c>
      <c r="B771" t="s">
        <v>228</v>
      </c>
    </row>
    <row r="772" spans="1:2" x14ac:dyDescent="0.25">
      <c r="A772">
        <v>2018</v>
      </c>
      <c r="B772" t="s">
        <v>670</v>
      </c>
    </row>
    <row r="773" spans="1:2" x14ac:dyDescent="0.25">
      <c r="A773">
        <v>2018</v>
      </c>
      <c r="B773" t="s">
        <v>229</v>
      </c>
    </row>
    <row r="774" spans="1:2" x14ac:dyDescent="0.25">
      <c r="A774">
        <v>2018</v>
      </c>
      <c r="B774" t="s">
        <v>671</v>
      </c>
    </row>
    <row r="775" spans="1:2" x14ac:dyDescent="0.25">
      <c r="A775">
        <v>2018</v>
      </c>
      <c r="B775" t="s">
        <v>230</v>
      </c>
    </row>
    <row r="776" spans="1:2" x14ac:dyDescent="0.25">
      <c r="A776">
        <v>2018</v>
      </c>
      <c r="B776" t="s">
        <v>672</v>
      </c>
    </row>
    <row r="777" spans="1:2" x14ac:dyDescent="0.25">
      <c r="A777">
        <v>2018</v>
      </c>
      <c r="B777" t="s">
        <v>673</v>
      </c>
    </row>
    <row r="778" spans="1:2" x14ac:dyDescent="0.25">
      <c r="A778">
        <v>2018</v>
      </c>
      <c r="B778" t="s">
        <v>234</v>
      </c>
    </row>
    <row r="779" spans="1:2" x14ac:dyDescent="0.25">
      <c r="A779">
        <v>2018</v>
      </c>
      <c r="B779" t="s">
        <v>674</v>
      </c>
    </row>
    <row r="780" spans="1:2" x14ac:dyDescent="0.25">
      <c r="A780">
        <v>2018</v>
      </c>
      <c r="B780" t="s">
        <v>675</v>
      </c>
    </row>
    <row r="781" spans="1:2" x14ac:dyDescent="0.25">
      <c r="A781">
        <v>2018</v>
      </c>
      <c r="B781" t="s">
        <v>235</v>
      </c>
    </row>
    <row r="782" spans="1:2" x14ac:dyDescent="0.25">
      <c r="A782">
        <v>2018</v>
      </c>
      <c r="B782" t="s">
        <v>676</v>
      </c>
    </row>
    <row r="783" spans="1:2" x14ac:dyDescent="0.25">
      <c r="A783">
        <v>2018</v>
      </c>
      <c r="B783" t="s">
        <v>239</v>
      </c>
    </row>
    <row r="784" spans="1:2" x14ac:dyDescent="0.25">
      <c r="A784">
        <v>2018</v>
      </c>
      <c r="B784" t="s">
        <v>677</v>
      </c>
    </row>
    <row r="785" spans="1:2" x14ac:dyDescent="0.25">
      <c r="A785">
        <v>2018</v>
      </c>
      <c r="B785" t="s">
        <v>678</v>
      </c>
    </row>
    <row r="786" spans="1:2" x14ac:dyDescent="0.25">
      <c r="A786">
        <v>2018</v>
      </c>
      <c r="B786" t="s">
        <v>679</v>
      </c>
    </row>
    <row r="787" spans="1:2" x14ac:dyDescent="0.25">
      <c r="A787">
        <v>2018</v>
      </c>
      <c r="B787" t="s">
        <v>243</v>
      </c>
    </row>
    <row r="788" spans="1:2" x14ac:dyDescent="0.25">
      <c r="A788">
        <v>2018</v>
      </c>
      <c r="B788" t="s">
        <v>245</v>
      </c>
    </row>
    <row r="789" spans="1:2" x14ac:dyDescent="0.25">
      <c r="A789">
        <v>2018</v>
      </c>
      <c r="B789" t="s">
        <v>246</v>
      </c>
    </row>
    <row r="790" spans="1:2" x14ac:dyDescent="0.25">
      <c r="A790">
        <v>2018</v>
      </c>
      <c r="B790" t="s">
        <v>680</v>
      </c>
    </row>
    <row r="791" spans="1:2" x14ac:dyDescent="0.25">
      <c r="A791">
        <v>2018</v>
      </c>
      <c r="B791" t="s">
        <v>681</v>
      </c>
    </row>
    <row r="792" spans="1:2" x14ac:dyDescent="0.25">
      <c r="A792">
        <v>2018</v>
      </c>
      <c r="B792" t="s">
        <v>249</v>
      </c>
    </row>
    <row r="793" spans="1:2" x14ac:dyDescent="0.25">
      <c r="A793">
        <v>2018</v>
      </c>
      <c r="B793" t="s">
        <v>682</v>
      </c>
    </row>
    <row r="794" spans="1:2" x14ac:dyDescent="0.25">
      <c r="A794">
        <v>2018</v>
      </c>
      <c r="B794" t="s">
        <v>683</v>
      </c>
    </row>
    <row r="795" spans="1:2" x14ac:dyDescent="0.25">
      <c r="A795">
        <v>2018</v>
      </c>
      <c r="B795" t="s">
        <v>684</v>
      </c>
    </row>
    <row r="796" spans="1:2" x14ac:dyDescent="0.25">
      <c r="A796">
        <v>2018</v>
      </c>
      <c r="B796" t="s">
        <v>685</v>
      </c>
    </row>
    <row r="797" spans="1:2" x14ac:dyDescent="0.25">
      <c r="A797">
        <v>2018</v>
      </c>
      <c r="B797" t="s">
        <v>686</v>
      </c>
    </row>
    <row r="798" spans="1:2" x14ac:dyDescent="0.25">
      <c r="A798">
        <v>2018</v>
      </c>
      <c r="B798" t="s">
        <v>253</v>
      </c>
    </row>
    <row r="799" spans="1:2" x14ac:dyDescent="0.25">
      <c r="A799">
        <v>2018</v>
      </c>
      <c r="B799" t="s">
        <v>254</v>
      </c>
    </row>
    <row r="800" spans="1:2" x14ac:dyDescent="0.25">
      <c r="A800">
        <v>2018</v>
      </c>
      <c r="B800" t="s">
        <v>687</v>
      </c>
    </row>
    <row r="801" spans="1:2" x14ac:dyDescent="0.25">
      <c r="A801">
        <v>2018</v>
      </c>
      <c r="B801" t="s">
        <v>257</v>
      </c>
    </row>
    <row r="802" spans="1:2" x14ac:dyDescent="0.25">
      <c r="A802">
        <v>2018</v>
      </c>
      <c r="B802" t="s">
        <v>688</v>
      </c>
    </row>
    <row r="803" spans="1:2" x14ac:dyDescent="0.25">
      <c r="A803">
        <v>2018</v>
      </c>
      <c r="B803" t="s">
        <v>258</v>
      </c>
    </row>
    <row r="804" spans="1:2" x14ac:dyDescent="0.25">
      <c r="A804">
        <v>2018</v>
      </c>
      <c r="B804" t="s">
        <v>689</v>
      </c>
    </row>
    <row r="805" spans="1:2" x14ac:dyDescent="0.25">
      <c r="A805">
        <v>2018</v>
      </c>
      <c r="B805" t="s">
        <v>690</v>
      </c>
    </row>
    <row r="806" spans="1:2" x14ac:dyDescent="0.25">
      <c r="A806">
        <v>2018</v>
      </c>
      <c r="B806" t="s">
        <v>691</v>
      </c>
    </row>
    <row r="807" spans="1:2" x14ac:dyDescent="0.25">
      <c r="A807">
        <v>2018</v>
      </c>
      <c r="B807" t="s">
        <v>692</v>
      </c>
    </row>
    <row r="808" spans="1:2" x14ac:dyDescent="0.25">
      <c r="A808">
        <v>2018</v>
      </c>
      <c r="B808" t="s">
        <v>264</v>
      </c>
    </row>
    <row r="809" spans="1:2" x14ac:dyDescent="0.25">
      <c r="A809">
        <v>2018</v>
      </c>
      <c r="B809" t="s">
        <v>267</v>
      </c>
    </row>
    <row r="810" spans="1:2" x14ac:dyDescent="0.25">
      <c r="A810">
        <v>2018</v>
      </c>
      <c r="B810" t="s">
        <v>693</v>
      </c>
    </row>
    <row r="811" spans="1:2" x14ac:dyDescent="0.25">
      <c r="A811">
        <v>2018</v>
      </c>
      <c r="B811" t="s">
        <v>694</v>
      </c>
    </row>
    <row r="812" spans="1:2" x14ac:dyDescent="0.25">
      <c r="A812">
        <v>2018</v>
      </c>
      <c r="B812" t="s">
        <v>695</v>
      </c>
    </row>
    <row r="813" spans="1:2" x14ac:dyDescent="0.25">
      <c r="A813">
        <v>2018</v>
      </c>
      <c r="B813" t="s">
        <v>270</v>
      </c>
    </row>
    <row r="814" spans="1:2" x14ac:dyDescent="0.25">
      <c r="A814">
        <v>2018</v>
      </c>
      <c r="B814" t="s">
        <v>271</v>
      </c>
    </row>
    <row r="815" spans="1:2" x14ac:dyDescent="0.25">
      <c r="A815">
        <v>2018</v>
      </c>
      <c r="B815" t="s">
        <v>696</v>
      </c>
    </row>
    <row r="816" spans="1:2" x14ac:dyDescent="0.25">
      <c r="A816">
        <v>2018</v>
      </c>
      <c r="B816" t="s">
        <v>272</v>
      </c>
    </row>
    <row r="817" spans="1:2" x14ac:dyDescent="0.25">
      <c r="A817">
        <v>2018</v>
      </c>
      <c r="B817" t="s">
        <v>274</v>
      </c>
    </row>
    <row r="818" spans="1:2" x14ac:dyDescent="0.25">
      <c r="A818">
        <v>2018</v>
      </c>
      <c r="B818" t="s">
        <v>275</v>
      </c>
    </row>
    <row r="819" spans="1:2" x14ac:dyDescent="0.25">
      <c r="A819">
        <v>2018</v>
      </c>
      <c r="B819" t="s">
        <v>276</v>
      </c>
    </row>
    <row r="820" spans="1:2" x14ac:dyDescent="0.25">
      <c r="A820">
        <v>2018</v>
      </c>
      <c r="B820" t="s">
        <v>697</v>
      </c>
    </row>
    <row r="821" spans="1:2" x14ac:dyDescent="0.25">
      <c r="A821">
        <v>2018</v>
      </c>
      <c r="B821" t="s">
        <v>277</v>
      </c>
    </row>
    <row r="822" spans="1:2" x14ac:dyDescent="0.25">
      <c r="A822">
        <v>2018</v>
      </c>
      <c r="B822" t="s">
        <v>698</v>
      </c>
    </row>
    <row r="823" spans="1:2" x14ac:dyDescent="0.25">
      <c r="A823">
        <v>2018</v>
      </c>
      <c r="B823" t="s">
        <v>699</v>
      </c>
    </row>
    <row r="824" spans="1:2" x14ac:dyDescent="0.25">
      <c r="A824">
        <v>2018</v>
      </c>
      <c r="B824" t="s">
        <v>700</v>
      </c>
    </row>
    <row r="825" spans="1:2" x14ac:dyDescent="0.25">
      <c r="A825">
        <v>2018</v>
      </c>
      <c r="B825" t="s">
        <v>701</v>
      </c>
    </row>
    <row r="826" spans="1:2" x14ac:dyDescent="0.25">
      <c r="A826">
        <v>2018</v>
      </c>
      <c r="B826" t="s">
        <v>702</v>
      </c>
    </row>
    <row r="827" spans="1:2" x14ac:dyDescent="0.25">
      <c r="A827">
        <v>2018</v>
      </c>
      <c r="B827" t="s">
        <v>703</v>
      </c>
    </row>
    <row r="828" spans="1:2" x14ac:dyDescent="0.25">
      <c r="A828">
        <v>2018</v>
      </c>
      <c r="B828" t="s">
        <v>704</v>
      </c>
    </row>
    <row r="829" spans="1:2" x14ac:dyDescent="0.25">
      <c r="A829">
        <v>2018</v>
      </c>
      <c r="B829" t="s">
        <v>705</v>
      </c>
    </row>
    <row r="830" spans="1:2" x14ac:dyDescent="0.25">
      <c r="A830">
        <v>2018</v>
      </c>
      <c r="B830" t="s">
        <v>706</v>
      </c>
    </row>
    <row r="831" spans="1:2" x14ac:dyDescent="0.25">
      <c r="A831">
        <v>2018</v>
      </c>
      <c r="B831" t="s">
        <v>284</v>
      </c>
    </row>
    <row r="832" spans="1:2" x14ac:dyDescent="0.25">
      <c r="A832">
        <v>2018</v>
      </c>
      <c r="B832" t="s">
        <v>707</v>
      </c>
    </row>
    <row r="833" spans="1:2" x14ac:dyDescent="0.25">
      <c r="A833">
        <v>2018</v>
      </c>
      <c r="B833" t="s">
        <v>708</v>
      </c>
    </row>
    <row r="834" spans="1:2" x14ac:dyDescent="0.25">
      <c r="A834">
        <v>2018</v>
      </c>
      <c r="B834" t="s">
        <v>709</v>
      </c>
    </row>
    <row r="835" spans="1:2" x14ac:dyDescent="0.25">
      <c r="A835">
        <v>2018</v>
      </c>
      <c r="B835" t="s">
        <v>710</v>
      </c>
    </row>
    <row r="836" spans="1:2" x14ac:dyDescent="0.25">
      <c r="A836">
        <v>2018</v>
      </c>
      <c r="B836" t="s">
        <v>711</v>
      </c>
    </row>
    <row r="837" spans="1:2" x14ac:dyDescent="0.25">
      <c r="A837">
        <v>2018</v>
      </c>
      <c r="B837" t="s">
        <v>712</v>
      </c>
    </row>
    <row r="838" spans="1:2" x14ac:dyDescent="0.25">
      <c r="A838">
        <v>2018</v>
      </c>
      <c r="B838" t="s">
        <v>713</v>
      </c>
    </row>
    <row r="839" spans="1:2" x14ac:dyDescent="0.25">
      <c r="A839">
        <v>2018</v>
      </c>
      <c r="B839" t="s">
        <v>289</v>
      </c>
    </row>
    <row r="840" spans="1:2" x14ac:dyDescent="0.25">
      <c r="A840">
        <v>2018</v>
      </c>
      <c r="B840" t="s">
        <v>290</v>
      </c>
    </row>
    <row r="841" spans="1:2" x14ac:dyDescent="0.25">
      <c r="A841">
        <v>2018</v>
      </c>
      <c r="B841" t="s">
        <v>714</v>
      </c>
    </row>
    <row r="842" spans="1:2" x14ac:dyDescent="0.25">
      <c r="A842">
        <v>2018</v>
      </c>
      <c r="B842" t="s">
        <v>715</v>
      </c>
    </row>
    <row r="843" spans="1:2" x14ac:dyDescent="0.25">
      <c r="A843">
        <v>2018</v>
      </c>
      <c r="B843" t="s">
        <v>716</v>
      </c>
    </row>
    <row r="844" spans="1:2" x14ac:dyDescent="0.25">
      <c r="A844">
        <v>2018</v>
      </c>
      <c r="B844" t="s">
        <v>717</v>
      </c>
    </row>
    <row r="845" spans="1:2" x14ac:dyDescent="0.25">
      <c r="A845">
        <v>2018</v>
      </c>
      <c r="B845" t="s">
        <v>718</v>
      </c>
    </row>
    <row r="846" spans="1:2" x14ac:dyDescent="0.25">
      <c r="A846">
        <v>2018</v>
      </c>
      <c r="B846" t="s">
        <v>719</v>
      </c>
    </row>
    <row r="847" spans="1:2" x14ac:dyDescent="0.25">
      <c r="A847">
        <v>2018</v>
      </c>
      <c r="B847" t="s">
        <v>301</v>
      </c>
    </row>
    <row r="848" spans="1:2" x14ac:dyDescent="0.25">
      <c r="A848">
        <v>2018</v>
      </c>
      <c r="B848" t="s">
        <v>720</v>
      </c>
    </row>
    <row r="849" spans="1:2" x14ac:dyDescent="0.25">
      <c r="A849">
        <v>2018</v>
      </c>
      <c r="B849" t="s">
        <v>721</v>
      </c>
    </row>
    <row r="850" spans="1:2" x14ac:dyDescent="0.25">
      <c r="A850">
        <v>2018</v>
      </c>
      <c r="B850" t="s">
        <v>303</v>
      </c>
    </row>
    <row r="851" spans="1:2" x14ac:dyDescent="0.25">
      <c r="A851">
        <v>2018</v>
      </c>
      <c r="B851" t="s">
        <v>722</v>
      </c>
    </row>
    <row r="852" spans="1:2" x14ac:dyDescent="0.25">
      <c r="A852">
        <v>2018</v>
      </c>
      <c r="B852" t="s">
        <v>306</v>
      </c>
    </row>
    <row r="853" spans="1:2" x14ac:dyDescent="0.25">
      <c r="A853">
        <v>2018</v>
      </c>
      <c r="B853" t="s">
        <v>723</v>
      </c>
    </row>
    <row r="854" spans="1:2" x14ac:dyDescent="0.25">
      <c r="A854">
        <v>2018</v>
      </c>
      <c r="B854" t="s">
        <v>307</v>
      </c>
    </row>
    <row r="855" spans="1:2" x14ac:dyDescent="0.25">
      <c r="A855">
        <v>2018</v>
      </c>
      <c r="B855" t="s">
        <v>308</v>
      </c>
    </row>
    <row r="856" spans="1:2" x14ac:dyDescent="0.25">
      <c r="A856">
        <v>2018</v>
      </c>
      <c r="B856" t="s">
        <v>724</v>
      </c>
    </row>
    <row r="857" spans="1:2" x14ac:dyDescent="0.25">
      <c r="A857">
        <v>2018</v>
      </c>
      <c r="B857" t="s">
        <v>309</v>
      </c>
    </row>
    <row r="858" spans="1:2" x14ac:dyDescent="0.25">
      <c r="A858">
        <v>2018</v>
      </c>
      <c r="B858" t="s">
        <v>725</v>
      </c>
    </row>
    <row r="859" spans="1:2" x14ac:dyDescent="0.25">
      <c r="A859">
        <v>2018</v>
      </c>
      <c r="B859" t="s">
        <v>310</v>
      </c>
    </row>
    <row r="860" spans="1:2" x14ac:dyDescent="0.25">
      <c r="A860">
        <v>2018</v>
      </c>
      <c r="B860" t="s">
        <v>726</v>
      </c>
    </row>
    <row r="861" spans="1:2" x14ac:dyDescent="0.25">
      <c r="A861">
        <v>2018</v>
      </c>
      <c r="B861" t="s">
        <v>311</v>
      </c>
    </row>
    <row r="862" spans="1:2" x14ac:dyDescent="0.25">
      <c r="A862">
        <v>2018</v>
      </c>
      <c r="B862" t="s">
        <v>727</v>
      </c>
    </row>
    <row r="863" spans="1:2" x14ac:dyDescent="0.25">
      <c r="A863">
        <v>2018</v>
      </c>
      <c r="B863" t="s">
        <v>728</v>
      </c>
    </row>
    <row r="864" spans="1:2" x14ac:dyDescent="0.25">
      <c r="A864">
        <v>2018</v>
      </c>
      <c r="B864" t="s">
        <v>729</v>
      </c>
    </row>
    <row r="865" spans="1:2" x14ac:dyDescent="0.25">
      <c r="A865">
        <v>2018</v>
      </c>
      <c r="B865" t="s">
        <v>730</v>
      </c>
    </row>
    <row r="866" spans="1:2" x14ac:dyDescent="0.25">
      <c r="A866">
        <v>2018</v>
      </c>
      <c r="B866" t="s">
        <v>731</v>
      </c>
    </row>
    <row r="867" spans="1:2" x14ac:dyDescent="0.25">
      <c r="A867">
        <v>2018</v>
      </c>
      <c r="B867" t="s">
        <v>732</v>
      </c>
    </row>
    <row r="868" spans="1:2" x14ac:dyDescent="0.25">
      <c r="A868">
        <v>2018</v>
      </c>
      <c r="B868" t="s">
        <v>315</v>
      </c>
    </row>
    <row r="869" spans="1:2" x14ac:dyDescent="0.25">
      <c r="A869">
        <v>2018</v>
      </c>
      <c r="B869" t="s">
        <v>733</v>
      </c>
    </row>
    <row r="870" spans="1:2" x14ac:dyDescent="0.25">
      <c r="A870">
        <v>2018</v>
      </c>
      <c r="B870" t="s">
        <v>734</v>
      </c>
    </row>
    <row r="871" spans="1:2" x14ac:dyDescent="0.25">
      <c r="A871">
        <v>2018</v>
      </c>
      <c r="B871" t="s">
        <v>735</v>
      </c>
    </row>
    <row r="872" spans="1:2" x14ac:dyDescent="0.25">
      <c r="A872">
        <v>2018</v>
      </c>
      <c r="B872" t="s">
        <v>736</v>
      </c>
    </row>
    <row r="873" spans="1:2" x14ac:dyDescent="0.25">
      <c r="A873">
        <v>2018</v>
      </c>
      <c r="B873" t="s">
        <v>737</v>
      </c>
    </row>
    <row r="874" spans="1:2" x14ac:dyDescent="0.25">
      <c r="A874">
        <v>2018</v>
      </c>
      <c r="B874" t="s">
        <v>738</v>
      </c>
    </row>
    <row r="875" spans="1:2" x14ac:dyDescent="0.25">
      <c r="A875">
        <v>2018</v>
      </c>
      <c r="B875" t="s">
        <v>739</v>
      </c>
    </row>
    <row r="876" spans="1:2" x14ac:dyDescent="0.25">
      <c r="A876">
        <v>2018</v>
      </c>
      <c r="B876" t="s">
        <v>740</v>
      </c>
    </row>
    <row r="877" spans="1:2" x14ac:dyDescent="0.25">
      <c r="A877">
        <v>2018</v>
      </c>
      <c r="B877" t="s">
        <v>741</v>
      </c>
    </row>
    <row r="878" spans="1:2" x14ac:dyDescent="0.25">
      <c r="A878">
        <v>2018</v>
      </c>
      <c r="B878" t="s">
        <v>742</v>
      </c>
    </row>
    <row r="879" spans="1:2" x14ac:dyDescent="0.25">
      <c r="A879">
        <v>2018</v>
      </c>
      <c r="B879" t="s">
        <v>743</v>
      </c>
    </row>
    <row r="880" spans="1:2" x14ac:dyDescent="0.25">
      <c r="A880">
        <v>2018</v>
      </c>
      <c r="B880" t="s">
        <v>744</v>
      </c>
    </row>
    <row r="881" spans="1:2" x14ac:dyDescent="0.25">
      <c r="A881">
        <v>2018</v>
      </c>
      <c r="B881" t="s">
        <v>745</v>
      </c>
    </row>
    <row r="882" spans="1:2" x14ac:dyDescent="0.25">
      <c r="A882">
        <v>2018</v>
      </c>
      <c r="B882" t="s">
        <v>746</v>
      </c>
    </row>
    <row r="883" spans="1:2" x14ac:dyDescent="0.25">
      <c r="A883">
        <v>2018</v>
      </c>
      <c r="B883" t="s">
        <v>321</v>
      </c>
    </row>
    <row r="884" spans="1:2" x14ac:dyDescent="0.25">
      <c r="A884">
        <v>2018</v>
      </c>
      <c r="B884" t="s">
        <v>747</v>
      </c>
    </row>
    <row r="885" spans="1:2" x14ac:dyDescent="0.25">
      <c r="A885">
        <v>2018</v>
      </c>
      <c r="B885" t="s">
        <v>748</v>
      </c>
    </row>
    <row r="886" spans="1:2" x14ac:dyDescent="0.25">
      <c r="A886">
        <v>2018</v>
      </c>
      <c r="B886" t="s">
        <v>322</v>
      </c>
    </row>
    <row r="887" spans="1:2" x14ac:dyDescent="0.25">
      <c r="A887">
        <v>2018</v>
      </c>
      <c r="B887" t="s">
        <v>323</v>
      </c>
    </row>
    <row r="888" spans="1:2" x14ac:dyDescent="0.25">
      <c r="A888">
        <v>2018</v>
      </c>
      <c r="B888" t="s">
        <v>749</v>
      </c>
    </row>
    <row r="889" spans="1:2" x14ac:dyDescent="0.25">
      <c r="A889">
        <v>2018</v>
      </c>
      <c r="B889" t="s">
        <v>750</v>
      </c>
    </row>
    <row r="890" spans="1:2" x14ac:dyDescent="0.25">
      <c r="A890">
        <v>2018</v>
      </c>
      <c r="B890" t="s">
        <v>751</v>
      </c>
    </row>
    <row r="891" spans="1:2" x14ac:dyDescent="0.25">
      <c r="A891">
        <v>2018</v>
      </c>
      <c r="B891" t="s">
        <v>327</v>
      </c>
    </row>
    <row r="892" spans="1:2" x14ac:dyDescent="0.25">
      <c r="A892">
        <v>2018</v>
      </c>
      <c r="B892" t="s">
        <v>328</v>
      </c>
    </row>
    <row r="893" spans="1:2" x14ac:dyDescent="0.25">
      <c r="A893">
        <v>2018</v>
      </c>
      <c r="B893" t="s">
        <v>752</v>
      </c>
    </row>
    <row r="894" spans="1:2" x14ac:dyDescent="0.25">
      <c r="A894">
        <v>2018</v>
      </c>
      <c r="B894" t="s">
        <v>753</v>
      </c>
    </row>
    <row r="895" spans="1:2" x14ac:dyDescent="0.25">
      <c r="A895">
        <v>2018</v>
      </c>
      <c r="B895" t="s">
        <v>754</v>
      </c>
    </row>
    <row r="896" spans="1:2" x14ac:dyDescent="0.25">
      <c r="A896">
        <v>2018</v>
      </c>
      <c r="B896" t="s">
        <v>755</v>
      </c>
    </row>
    <row r="897" spans="1:2" x14ac:dyDescent="0.25">
      <c r="A897">
        <v>2018</v>
      </c>
      <c r="B897" t="s">
        <v>330</v>
      </c>
    </row>
    <row r="898" spans="1:2" x14ac:dyDescent="0.25">
      <c r="A898">
        <v>2018</v>
      </c>
      <c r="B898" t="s">
        <v>331</v>
      </c>
    </row>
    <row r="899" spans="1:2" x14ac:dyDescent="0.25">
      <c r="A899">
        <v>2018</v>
      </c>
      <c r="B899" t="s">
        <v>756</v>
      </c>
    </row>
    <row r="900" spans="1:2" x14ac:dyDescent="0.25">
      <c r="A900">
        <v>2018</v>
      </c>
      <c r="B900" t="s">
        <v>757</v>
      </c>
    </row>
    <row r="901" spans="1:2" x14ac:dyDescent="0.25">
      <c r="A901">
        <v>2018</v>
      </c>
      <c r="B901" t="s">
        <v>758</v>
      </c>
    </row>
    <row r="902" spans="1:2" x14ac:dyDescent="0.25">
      <c r="A902">
        <v>2018</v>
      </c>
      <c r="B902" t="s">
        <v>759</v>
      </c>
    </row>
    <row r="903" spans="1:2" x14ac:dyDescent="0.25">
      <c r="A903">
        <v>2018</v>
      </c>
      <c r="B903" t="s">
        <v>760</v>
      </c>
    </row>
    <row r="904" spans="1:2" x14ac:dyDescent="0.25">
      <c r="A904">
        <v>2018</v>
      </c>
      <c r="B904" t="s">
        <v>333</v>
      </c>
    </row>
    <row r="905" spans="1:2" x14ac:dyDescent="0.25">
      <c r="A905">
        <v>2018</v>
      </c>
      <c r="B905" t="s">
        <v>761</v>
      </c>
    </row>
    <row r="906" spans="1:2" x14ac:dyDescent="0.25">
      <c r="A906">
        <v>2018</v>
      </c>
      <c r="B906" t="s">
        <v>762</v>
      </c>
    </row>
    <row r="907" spans="1:2" x14ac:dyDescent="0.25">
      <c r="A907">
        <v>2018</v>
      </c>
      <c r="B907" t="s">
        <v>763</v>
      </c>
    </row>
    <row r="908" spans="1:2" x14ac:dyDescent="0.25">
      <c r="A908">
        <v>2018</v>
      </c>
      <c r="B908" t="s">
        <v>764</v>
      </c>
    </row>
    <row r="909" spans="1:2" x14ac:dyDescent="0.25">
      <c r="A909">
        <v>2018</v>
      </c>
      <c r="B909" t="s">
        <v>339</v>
      </c>
    </row>
    <row r="910" spans="1:2" x14ac:dyDescent="0.25">
      <c r="A910">
        <v>2018</v>
      </c>
      <c r="B910" t="s">
        <v>765</v>
      </c>
    </row>
    <row r="911" spans="1:2" x14ac:dyDescent="0.25">
      <c r="A911">
        <v>2018</v>
      </c>
      <c r="B911" t="s">
        <v>766</v>
      </c>
    </row>
    <row r="912" spans="1:2" x14ac:dyDescent="0.25">
      <c r="A912">
        <v>2018</v>
      </c>
      <c r="B912" t="s">
        <v>767</v>
      </c>
    </row>
    <row r="913" spans="1:2" x14ac:dyDescent="0.25">
      <c r="A913">
        <v>2018</v>
      </c>
      <c r="B913" t="s">
        <v>342</v>
      </c>
    </row>
    <row r="914" spans="1:2" x14ac:dyDescent="0.25">
      <c r="A914">
        <v>2018</v>
      </c>
      <c r="B914" t="s">
        <v>343</v>
      </c>
    </row>
    <row r="915" spans="1:2" x14ac:dyDescent="0.25">
      <c r="A915">
        <v>2018</v>
      </c>
      <c r="B915" t="s">
        <v>344</v>
      </c>
    </row>
    <row r="916" spans="1:2" x14ac:dyDescent="0.25">
      <c r="A916">
        <v>2018</v>
      </c>
      <c r="B916" t="s">
        <v>768</v>
      </c>
    </row>
    <row r="917" spans="1:2" x14ac:dyDescent="0.25">
      <c r="A917">
        <v>2018</v>
      </c>
      <c r="B917" t="s">
        <v>769</v>
      </c>
    </row>
    <row r="918" spans="1:2" x14ac:dyDescent="0.25">
      <c r="A918">
        <v>2018</v>
      </c>
      <c r="B918" t="s">
        <v>346</v>
      </c>
    </row>
    <row r="919" spans="1:2" x14ac:dyDescent="0.25">
      <c r="A919">
        <v>2018</v>
      </c>
      <c r="B919" t="s">
        <v>770</v>
      </c>
    </row>
    <row r="920" spans="1:2" x14ac:dyDescent="0.25">
      <c r="A920">
        <v>2018</v>
      </c>
      <c r="B920" t="s">
        <v>771</v>
      </c>
    </row>
    <row r="921" spans="1:2" x14ac:dyDescent="0.25">
      <c r="A921">
        <v>2018</v>
      </c>
      <c r="B921" t="s">
        <v>772</v>
      </c>
    </row>
    <row r="922" spans="1:2" x14ac:dyDescent="0.25">
      <c r="A922">
        <v>2018</v>
      </c>
      <c r="B922" t="s">
        <v>773</v>
      </c>
    </row>
    <row r="923" spans="1:2" x14ac:dyDescent="0.25">
      <c r="A923">
        <v>2018</v>
      </c>
      <c r="B923" t="s">
        <v>774</v>
      </c>
    </row>
    <row r="924" spans="1:2" x14ac:dyDescent="0.25">
      <c r="A924">
        <v>2018</v>
      </c>
      <c r="B924" t="s">
        <v>775</v>
      </c>
    </row>
    <row r="925" spans="1:2" x14ac:dyDescent="0.25">
      <c r="A925">
        <v>2018</v>
      </c>
      <c r="B925" t="s">
        <v>776</v>
      </c>
    </row>
    <row r="926" spans="1:2" x14ac:dyDescent="0.25">
      <c r="A926">
        <v>2018</v>
      </c>
      <c r="B926" t="s">
        <v>777</v>
      </c>
    </row>
    <row r="927" spans="1:2" x14ac:dyDescent="0.25">
      <c r="A927">
        <v>2018</v>
      </c>
      <c r="B927" t="s">
        <v>352</v>
      </c>
    </row>
    <row r="928" spans="1:2" x14ac:dyDescent="0.25">
      <c r="A928">
        <v>2018</v>
      </c>
      <c r="B928" t="s">
        <v>778</v>
      </c>
    </row>
    <row r="929" spans="1:2" x14ac:dyDescent="0.25">
      <c r="A929">
        <v>2018</v>
      </c>
      <c r="B929" t="s">
        <v>355</v>
      </c>
    </row>
    <row r="930" spans="1:2" x14ac:dyDescent="0.25">
      <c r="A930">
        <v>2018</v>
      </c>
      <c r="B930" t="s">
        <v>779</v>
      </c>
    </row>
    <row r="931" spans="1:2" x14ac:dyDescent="0.25">
      <c r="A931">
        <v>2018</v>
      </c>
      <c r="B931" t="s">
        <v>780</v>
      </c>
    </row>
    <row r="932" spans="1:2" x14ac:dyDescent="0.25">
      <c r="A932">
        <v>2018</v>
      </c>
      <c r="B932" t="s">
        <v>781</v>
      </c>
    </row>
    <row r="933" spans="1:2" x14ac:dyDescent="0.25">
      <c r="A933">
        <v>2018</v>
      </c>
      <c r="B933" t="s">
        <v>782</v>
      </c>
    </row>
    <row r="934" spans="1:2" x14ac:dyDescent="0.25">
      <c r="A934">
        <v>2018</v>
      </c>
      <c r="B934" t="s">
        <v>359</v>
      </c>
    </row>
    <row r="935" spans="1:2" x14ac:dyDescent="0.25">
      <c r="A935">
        <v>2018</v>
      </c>
      <c r="B935" t="s">
        <v>783</v>
      </c>
    </row>
    <row r="936" spans="1:2" x14ac:dyDescent="0.25">
      <c r="A936">
        <v>2018</v>
      </c>
      <c r="B936" t="s">
        <v>363</v>
      </c>
    </row>
    <row r="937" spans="1:2" x14ac:dyDescent="0.25">
      <c r="A937">
        <v>2018</v>
      </c>
      <c r="B937" t="s">
        <v>784</v>
      </c>
    </row>
    <row r="938" spans="1:2" x14ac:dyDescent="0.25">
      <c r="A938">
        <v>2018</v>
      </c>
      <c r="B938" t="s">
        <v>785</v>
      </c>
    </row>
    <row r="939" spans="1:2" x14ac:dyDescent="0.25">
      <c r="A939">
        <v>2018</v>
      </c>
      <c r="B939" t="s">
        <v>786</v>
      </c>
    </row>
    <row r="940" spans="1:2" x14ac:dyDescent="0.25">
      <c r="A940">
        <v>2018</v>
      </c>
      <c r="B940" t="s">
        <v>787</v>
      </c>
    </row>
    <row r="941" spans="1:2" x14ac:dyDescent="0.25">
      <c r="A941">
        <v>2018</v>
      </c>
      <c r="B941" t="s">
        <v>788</v>
      </c>
    </row>
    <row r="942" spans="1:2" x14ac:dyDescent="0.25">
      <c r="A942">
        <v>2018</v>
      </c>
      <c r="B942" t="s">
        <v>789</v>
      </c>
    </row>
    <row r="943" spans="1:2" x14ac:dyDescent="0.25">
      <c r="A943">
        <v>2018</v>
      </c>
      <c r="B943" t="s">
        <v>790</v>
      </c>
    </row>
    <row r="944" spans="1:2" x14ac:dyDescent="0.25">
      <c r="A944">
        <v>2018</v>
      </c>
      <c r="B944" t="s">
        <v>371</v>
      </c>
    </row>
    <row r="945" spans="1:2" x14ac:dyDescent="0.25">
      <c r="A945">
        <v>2018</v>
      </c>
      <c r="B945" t="s">
        <v>791</v>
      </c>
    </row>
    <row r="946" spans="1:2" x14ac:dyDescent="0.25">
      <c r="A946">
        <v>2018</v>
      </c>
      <c r="B946" t="s">
        <v>792</v>
      </c>
    </row>
    <row r="947" spans="1:2" x14ac:dyDescent="0.25">
      <c r="A947">
        <v>2018</v>
      </c>
      <c r="B947" t="s">
        <v>376</v>
      </c>
    </row>
    <row r="948" spans="1:2" x14ac:dyDescent="0.25">
      <c r="A948">
        <v>2018</v>
      </c>
      <c r="B948" t="s">
        <v>377</v>
      </c>
    </row>
    <row r="949" spans="1:2" x14ac:dyDescent="0.25">
      <c r="A949">
        <v>2018</v>
      </c>
      <c r="B949" t="s">
        <v>793</v>
      </c>
    </row>
    <row r="950" spans="1:2" x14ac:dyDescent="0.25">
      <c r="A950">
        <v>2018</v>
      </c>
      <c r="B950" t="s">
        <v>378</v>
      </c>
    </row>
    <row r="951" spans="1:2" x14ac:dyDescent="0.25">
      <c r="A951">
        <v>2018</v>
      </c>
      <c r="B951" t="s">
        <v>794</v>
      </c>
    </row>
    <row r="952" spans="1:2" x14ac:dyDescent="0.25">
      <c r="A952">
        <v>2018</v>
      </c>
      <c r="B952" t="s">
        <v>795</v>
      </c>
    </row>
    <row r="953" spans="1:2" x14ac:dyDescent="0.25">
      <c r="A953">
        <v>2018</v>
      </c>
      <c r="B953" t="s">
        <v>796</v>
      </c>
    </row>
    <row r="954" spans="1:2" x14ac:dyDescent="0.25">
      <c r="A954">
        <v>2018</v>
      </c>
      <c r="B954" t="s">
        <v>380</v>
      </c>
    </row>
    <row r="955" spans="1:2" x14ac:dyDescent="0.25">
      <c r="A955">
        <v>2018</v>
      </c>
      <c r="B955" t="s">
        <v>382</v>
      </c>
    </row>
    <row r="956" spans="1:2" x14ac:dyDescent="0.25">
      <c r="A956">
        <v>2018</v>
      </c>
      <c r="B956" t="s">
        <v>797</v>
      </c>
    </row>
    <row r="957" spans="1:2" x14ac:dyDescent="0.25">
      <c r="A957">
        <v>2018</v>
      </c>
      <c r="B957" t="s">
        <v>798</v>
      </c>
    </row>
    <row r="958" spans="1:2" x14ac:dyDescent="0.25">
      <c r="A958">
        <v>2018</v>
      </c>
      <c r="B958" t="s">
        <v>383</v>
      </c>
    </row>
    <row r="959" spans="1:2" x14ac:dyDescent="0.25">
      <c r="A959">
        <v>2018</v>
      </c>
      <c r="B959" t="s">
        <v>799</v>
      </c>
    </row>
    <row r="960" spans="1:2" x14ac:dyDescent="0.25">
      <c r="A960">
        <v>2018</v>
      </c>
      <c r="B960" t="s">
        <v>800</v>
      </c>
    </row>
    <row r="961" spans="1:2" x14ac:dyDescent="0.25">
      <c r="A961">
        <v>2018</v>
      </c>
      <c r="B961" t="s">
        <v>386</v>
      </c>
    </row>
    <row r="962" spans="1:2" x14ac:dyDescent="0.25">
      <c r="A962">
        <v>2018</v>
      </c>
      <c r="B962" t="s">
        <v>801</v>
      </c>
    </row>
    <row r="963" spans="1:2" x14ac:dyDescent="0.25">
      <c r="A963">
        <v>2018</v>
      </c>
      <c r="B963" t="s">
        <v>802</v>
      </c>
    </row>
    <row r="964" spans="1:2" x14ac:dyDescent="0.25">
      <c r="A964">
        <v>2018</v>
      </c>
      <c r="B964" t="s">
        <v>803</v>
      </c>
    </row>
    <row r="965" spans="1:2" x14ac:dyDescent="0.25">
      <c r="A965">
        <v>2018</v>
      </c>
      <c r="B965" t="s">
        <v>388</v>
      </c>
    </row>
    <row r="966" spans="1:2" x14ac:dyDescent="0.25">
      <c r="A966">
        <v>2018</v>
      </c>
      <c r="B966" t="s">
        <v>804</v>
      </c>
    </row>
    <row r="967" spans="1:2" x14ac:dyDescent="0.25">
      <c r="A967">
        <v>2018</v>
      </c>
      <c r="B967" t="s">
        <v>805</v>
      </c>
    </row>
    <row r="968" spans="1:2" x14ac:dyDescent="0.25">
      <c r="A968">
        <v>2018</v>
      </c>
      <c r="B968" t="s">
        <v>806</v>
      </c>
    </row>
    <row r="969" spans="1:2" x14ac:dyDescent="0.25">
      <c r="A969">
        <v>2018</v>
      </c>
      <c r="B969" t="s">
        <v>390</v>
      </c>
    </row>
    <row r="970" spans="1:2" x14ac:dyDescent="0.25">
      <c r="A970">
        <v>2018</v>
      </c>
      <c r="B970" t="s">
        <v>391</v>
      </c>
    </row>
    <row r="971" spans="1:2" x14ac:dyDescent="0.25">
      <c r="A971">
        <v>2018</v>
      </c>
      <c r="B971" t="s">
        <v>393</v>
      </c>
    </row>
    <row r="972" spans="1:2" x14ac:dyDescent="0.25">
      <c r="A972">
        <v>2018</v>
      </c>
      <c r="B972" t="s">
        <v>807</v>
      </c>
    </row>
    <row r="973" spans="1:2" x14ac:dyDescent="0.25">
      <c r="A973">
        <v>2018</v>
      </c>
      <c r="B973" t="s">
        <v>394</v>
      </c>
    </row>
    <row r="974" spans="1:2" x14ac:dyDescent="0.25">
      <c r="A974">
        <v>2018</v>
      </c>
      <c r="B974" t="s">
        <v>808</v>
      </c>
    </row>
    <row r="975" spans="1:2" x14ac:dyDescent="0.25">
      <c r="A975">
        <v>2018</v>
      </c>
      <c r="B975" t="s">
        <v>809</v>
      </c>
    </row>
    <row r="976" spans="1:2" x14ac:dyDescent="0.25">
      <c r="A976">
        <v>2018</v>
      </c>
      <c r="B976" t="s">
        <v>810</v>
      </c>
    </row>
    <row r="977" spans="1:2" x14ac:dyDescent="0.25">
      <c r="A977">
        <v>2018</v>
      </c>
      <c r="B977" t="s">
        <v>398</v>
      </c>
    </row>
    <row r="978" spans="1:2" x14ac:dyDescent="0.25">
      <c r="A978">
        <v>2018</v>
      </c>
      <c r="B978" t="s">
        <v>811</v>
      </c>
    </row>
    <row r="979" spans="1:2" x14ac:dyDescent="0.25">
      <c r="A979">
        <v>2018</v>
      </c>
      <c r="B979" t="s">
        <v>812</v>
      </c>
    </row>
    <row r="980" spans="1:2" x14ac:dyDescent="0.25">
      <c r="A980">
        <v>2018</v>
      </c>
      <c r="B980" t="s">
        <v>813</v>
      </c>
    </row>
    <row r="981" spans="1:2" x14ac:dyDescent="0.25">
      <c r="A981">
        <v>2018</v>
      </c>
      <c r="B981" t="s">
        <v>400</v>
      </c>
    </row>
    <row r="982" spans="1:2" x14ac:dyDescent="0.25">
      <c r="A982">
        <v>2018</v>
      </c>
      <c r="B982" t="s">
        <v>401</v>
      </c>
    </row>
    <row r="983" spans="1:2" x14ac:dyDescent="0.25">
      <c r="A983">
        <v>2018</v>
      </c>
      <c r="B983" t="s">
        <v>814</v>
      </c>
    </row>
    <row r="984" spans="1:2" x14ac:dyDescent="0.25">
      <c r="A984">
        <v>2018</v>
      </c>
      <c r="B984" t="s">
        <v>815</v>
      </c>
    </row>
    <row r="985" spans="1:2" x14ac:dyDescent="0.25">
      <c r="A985">
        <v>2018</v>
      </c>
      <c r="B985" t="s">
        <v>816</v>
      </c>
    </row>
    <row r="986" spans="1:2" x14ac:dyDescent="0.25">
      <c r="A986">
        <v>2018</v>
      </c>
      <c r="B986" t="s">
        <v>817</v>
      </c>
    </row>
    <row r="987" spans="1:2" x14ac:dyDescent="0.25">
      <c r="A987">
        <v>2018</v>
      </c>
      <c r="B987" t="s">
        <v>818</v>
      </c>
    </row>
    <row r="988" spans="1:2" x14ac:dyDescent="0.25">
      <c r="A988">
        <v>2018</v>
      </c>
      <c r="B988" t="s">
        <v>819</v>
      </c>
    </row>
    <row r="989" spans="1:2" x14ac:dyDescent="0.25">
      <c r="A989">
        <v>2018</v>
      </c>
      <c r="B989" t="s">
        <v>407</v>
      </c>
    </row>
    <row r="990" spans="1:2" x14ac:dyDescent="0.25">
      <c r="A990">
        <v>2018</v>
      </c>
      <c r="B990" t="s">
        <v>408</v>
      </c>
    </row>
    <row r="991" spans="1:2" x14ac:dyDescent="0.25">
      <c r="A991">
        <v>2018</v>
      </c>
      <c r="B991" t="s">
        <v>820</v>
      </c>
    </row>
    <row r="992" spans="1:2" x14ac:dyDescent="0.25">
      <c r="A992">
        <v>2018</v>
      </c>
      <c r="B992" t="s">
        <v>821</v>
      </c>
    </row>
    <row r="993" spans="1:2" x14ac:dyDescent="0.25">
      <c r="A993">
        <v>2018</v>
      </c>
      <c r="B993" t="s">
        <v>409</v>
      </c>
    </row>
    <row r="994" spans="1:2" x14ac:dyDescent="0.25">
      <c r="A994">
        <v>2018</v>
      </c>
      <c r="B994" t="s">
        <v>822</v>
      </c>
    </row>
    <row r="995" spans="1:2" x14ac:dyDescent="0.25">
      <c r="A995">
        <v>2018</v>
      </c>
      <c r="B995" t="s">
        <v>823</v>
      </c>
    </row>
    <row r="996" spans="1:2" x14ac:dyDescent="0.25">
      <c r="A996">
        <v>2018</v>
      </c>
      <c r="B996" t="s">
        <v>410</v>
      </c>
    </row>
    <row r="997" spans="1:2" x14ac:dyDescent="0.25">
      <c r="A997">
        <v>2018</v>
      </c>
      <c r="B997" t="s">
        <v>824</v>
      </c>
    </row>
    <row r="998" spans="1:2" x14ac:dyDescent="0.25">
      <c r="A998">
        <v>2018</v>
      </c>
      <c r="B998" t="s">
        <v>825</v>
      </c>
    </row>
    <row r="999" spans="1:2" x14ac:dyDescent="0.25">
      <c r="A999">
        <v>2018</v>
      </c>
      <c r="B999" t="s">
        <v>826</v>
      </c>
    </row>
    <row r="1000" spans="1:2" x14ac:dyDescent="0.25">
      <c r="A1000">
        <v>2018</v>
      </c>
      <c r="B1000" t="s">
        <v>827</v>
      </c>
    </row>
    <row r="1001" spans="1:2" x14ac:dyDescent="0.25">
      <c r="A1001">
        <v>2018</v>
      </c>
      <c r="B1001" t="s">
        <v>828</v>
      </c>
    </row>
    <row r="1002" spans="1:2" x14ac:dyDescent="0.25">
      <c r="A1002">
        <v>2018</v>
      </c>
      <c r="B1002" t="s">
        <v>413</v>
      </c>
    </row>
    <row r="1003" spans="1:2" x14ac:dyDescent="0.25">
      <c r="A1003">
        <v>2018</v>
      </c>
      <c r="B1003" t="s">
        <v>829</v>
      </c>
    </row>
    <row r="1004" spans="1:2" x14ac:dyDescent="0.25">
      <c r="A1004">
        <v>2018</v>
      </c>
      <c r="B1004" t="s">
        <v>414</v>
      </c>
    </row>
    <row r="1005" spans="1:2" x14ac:dyDescent="0.25">
      <c r="A1005">
        <v>2018</v>
      </c>
      <c r="B1005" t="s">
        <v>416</v>
      </c>
    </row>
    <row r="1006" spans="1:2" x14ac:dyDescent="0.25">
      <c r="A1006">
        <v>2018</v>
      </c>
      <c r="B1006" t="s">
        <v>830</v>
      </c>
    </row>
    <row r="1007" spans="1:2" x14ac:dyDescent="0.25">
      <c r="A1007">
        <v>2018</v>
      </c>
      <c r="B1007" t="s">
        <v>831</v>
      </c>
    </row>
    <row r="1008" spans="1:2" x14ac:dyDescent="0.25">
      <c r="A1008">
        <v>2018</v>
      </c>
      <c r="B1008" t="s">
        <v>418</v>
      </c>
    </row>
    <row r="1009" spans="1:2" x14ac:dyDescent="0.25">
      <c r="A1009">
        <v>2018</v>
      </c>
      <c r="B1009" t="s">
        <v>421</v>
      </c>
    </row>
    <row r="1010" spans="1:2" x14ac:dyDescent="0.25">
      <c r="A1010">
        <v>2018</v>
      </c>
      <c r="B1010" t="s">
        <v>832</v>
      </c>
    </row>
    <row r="1011" spans="1:2" x14ac:dyDescent="0.25">
      <c r="A1011">
        <v>2018</v>
      </c>
      <c r="B1011" t="s">
        <v>422</v>
      </c>
    </row>
    <row r="1012" spans="1:2" x14ac:dyDescent="0.25">
      <c r="A1012">
        <v>2018</v>
      </c>
      <c r="B1012" t="s">
        <v>833</v>
      </c>
    </row>
    <row r="1013" spans="1:2" x14ac:dyDescent="0.25">
      <c r="A1013">
        <v>2018</v>
      </c>
      <c r="B1013" t="s">
        <v>427</v>
      </c>
    </row>
    <row r="1014" spans="1:2" x14ac:dyDescent="0.25">
      <c r="A1014">
        <v>2018</v>
      </c>
      <c r="B1014" t="s">
        <v>834</v>
      </c>
    </row>
    <row r="1015" spans="1:2" x14ac:dyDescent="0.25">
      <c r="A1015">
        <v>2018</v>
      </c>
      <c r="B1015" t="s">
        <v>428</v>
      </c>
    </row>
    <row r="1016" spans="1:2" x14ac:dyDescent="0.25">
      <c r="A1016">
        <v>2018</v>
      </c>
      <c r="B1016" t="s">
        <v>835</v>
      </c>
    </row>
    <row r="1017" spans="1:2" x14ac:dyDescent="0.25">
      <c r="A1017">
        <v>2018</v>
      </c>
      <c r="B1017" t="s">
        <v>429</v>
      </c>
    </row>
    <row r="1018" spans="1:2" x14ac:dyDescent="0.25">
      <c r="A1018">
        <v>2018</v>
      </c>
      <c r="B1018" t="s">
        <v>432</v>
      </c>
    </row>
    <row r="1019" spans="1:2" x14ac:dyDescent="0.25">
      <c r="A1019">
        <v>2018</v>
      </c>
      <c r="B1019" t="s">
        <v>836</v>
      </c>
    </row>
    <row r="1020" spans="1:2" x14ac:dyDescent="0.25">
      <c r="A1020">
        <v>2018</v>
      </c>
      <c r="B1020" t="s">
        <v>436</v>
      </c>
    </row>
    <row r="1021" spans="1:2" x14ac:dyDescent="0.25">
      <c r="A1021">
        <v>2018</v>
      </c>
      <c r="B1021" t="s">
        <v>437</v>
      </c>
    </row>
    <row r="1022" spans="1:2" x14ac:dyDescent="0.25">
      <c r="A1022">
        <v>2018</v>
      </c>
      <c r="B1022" t="s">
        <v>439</v>
      </c>
    </row>
    <row r="1023" spans="1:2" x14ac:dyDescent="0.25">
      <c r="A1023">
        <v>2018</v>
      </c>
      <c r="B1023" t="s">
        <v>837</v>
      </c>
    </row>
    <row r="1024" spans="1:2" x14ac:dyDescent="0.25">
      <c r="A1024">
        <v>2018</v>
      </c>
      <c r="B1024" t="s">
        <v>440</v>
      </c>
    </row>
    <row r="1025" spans="1:2" x14ac:dyDescent="0.25">
      <c r="A1025">
        <v>2018</v>
      </c>
      <c r="B1025" t="s">
        <v>442</v>
      </c>
    </row>
    <row r="1026" spans="1:2" x14ac:dyDescent="0.25">
      <c r="A1026">
        <v>2018</v>
      </c>
      <c r="B1026" t="s">
        <v>838</v>
      </c>
    </row>
    <row r="1027" spans="1:2" x14ac:dyDescent="0.25">
      <c r="A1027">
        <v>2018</v>
      </c>
      <c r="B1027" t="s">
        <v>839</v>
      </c>
    </row>
    <row r="1028" spans="1:2" x14ac:dyDescent="0.25">
      <c r="A1028">
        <v>2018</v>
      </c>
      <c r="B1028" t="s">
        <v>840</v>
      </c>
    </row>
    <row r="1029" spans="1:2" x14ac:dyDescent="0.25">
      <c r="A1029">
        <v>2018</v>
      </c>
      <c r="B1029" t="s">
        <v>841</v>
      </c>
    </row>
    <row r="1030" spans="1:2" x14ac:dyDescent="0.25">
      <c r="A1030">
        <v>2018</v>
      </c>
      <c r="B1030" t="s">
        <v>842</v>
      </c>
    </row>
    <row r="1031" spans="1:2" x14ac:dyDescent="0.25">
      <c r="A1031">
        <v>2018</v>
      </c>
      <c r="B1031" t="s">
        <v>444</v>
      </c>
    </row>
    <row r="1032" spans="1:2" x14ac:dyDescent="0.25">
      <c r="A1032">
        <v>2018</v>
      </c>
      <c r="B1032" t="s">
        <v>843</v>
      </c>
    </row>
    <row r="1033" spans="1:2" x14ac:dyDescent="0.25">
      <c r="A1033">
        <v>2018</v>
      </c>
      <c r="B1033" t="s">
        <v>445</v>
      </c>
    </row>
    <row r="1034" spans="1:2" x14ac:dyDescent="0.25">
      <c r="A1034">
        <v>2018</v>
      </c>
      <c r="B1034" t="s">
        <v>844</v>
      </c>
    </row>
    <row r="1035" spans="1:2" x14ac:dyDescent="0.25">
      <c r="A1035">
        <v>2018</v>
      </c>
      <c r="B1035" t="s">
        <v>845</v>
      </c>
    </row>
    <row r="1036" spans="1:2" x14ac:dyDescent="0.25">
      <c r="A1036">
        <v>2018</v>
      </c>
      <c r="B1036" t="s">
        <v>846</v>
      </c>
    </row>
    <row r="1037" spans="1:2" x14ac:dyDescent="0.25">
      <c r="A1037">
        <v>2018</v>
      </c>
      <c r="B1037" t="s">
        <v>447</v>
      </c>
    </row>
    <row r="1038" spans="1:2" x14ac:dyDescent="0.25">
      <c r="A1038">
        <v>2018</v>
      </c>
      <c r="B1038" t="s">
        <v>847</v>
      </c>
    </row>
    <row r="1039" spans="1:2" x14ac:dyDescent="0.25">
      <c r="A1039">
        <v>2018</v>
      </c>
      <c r="B1039" t="s">
        <v>449</v>
      </c>
    </row>
    <row r="1040" spans="1:2" x14ac:dyDescent="0.25">
      <c r="A1040">
        <v>2018</v>
      </c>
      <c r="B1040" t="s">
        <v>453</v>
      </c>
    </row>
    <row r="1041" spans="1:2" x14ac:dyDescent="0.25">
      <c r="A1041">
        <v>2018</v>
      </c>
      <c r="B1041" t="s">
        <v>848</v>
      </c>
    </row>
    <row r="1042" spans="1:2" x14ac:dyDescent="0.25">
      <c r="A1042">
        <v>2018</v>
      </c>
      <c r="B1042" t="s">
        <v>849</v>
      </c>
    </row>
    <row r="1043" spans="1:2" x14ac:dyDescent="0.25">
      <c r="A1043">
        <v>2018</v>
      </c>
      <c r="B1043" t="s">
        <v>457</v>
      </c>
    </row>
    <row r="1044" spans="1:2" x14ac:dyDescent="0.25">
      <c r="A1044">
        <v>2018</v>
      </c>
      <c r="B1044" t="s">
        <v>458</v>
      </c>
    </row>
    <row r="1045" spans="1:2" x14ac:dyDescent="0.25">
      <c r="A1045">
        <v>2018</v>
      </c>
      <c r="B1045" t="s">
        <v>459</v>
      </c>
    </row>
    <row r="1046" spans="1:2" x14ac:dyDescent="0.25">
      <c r="A1046">
        <v>2018</v>
      </c>
      <c r="B1046" t="s">
        <v>850</v>
      </c>
    </row>
    <row r="1047" spans="1:2" x14ac:dyDescent="0.25">
      <c r="A1047">
        <v>2018</v>
      </c>
      <c r="B1047" t="s">
        <v>460</v>
      </c>
    </row>
    <row r="1048" spans="1:2" x14ac:dyDescent="0.25">
      <c r="A1048">
        <v>2018</v>
      </c>
      <c r="B1048" t="s">
        <v>462</v>
      </c>
    </row>
    <row r="1049" spans="1:2" x14ac:dyDescent="0.25">
      <c r="A1049">
        <v>2018</v>
      </c>
      <c r="B1049" t="s">
        <v>851</v>
      </c>
    </row>
    <row r="1050" spans="1:2" x14ac:dyDescent="0.25">
      <c r="A1050">
        <v>2018</v>
      </c>
      <c r="B1050" t="s">
        <v>852</v>
      </c>
    </row>
    <row r="1051" spans="1:2" x14ac:dyDescent="0.25">
      <c r="A1051">
        <v>2018</v>
      </c>
      <c r="B1051" t="s">
        <v>468</v>
      </c>
    </row>
    <row r="1052" spans="1:2" x14ac:dyDescent="0.25">
      <c r="A1052">
        <v>2018</v>
      </c>
      <c r="B1052" t="s">
        <v>853</v>
      </c>
    </row>
    <row r="1053" spans="1:2" x14ac:dyDescent="0.25">
      <c r="A1053">
        <v>2018</v>
      </c>
      <c r="B1053" t="s">
        <v>854</v>
      </c>
    </row>
    <row r="1054" spans="1:2" x14ac:dyDescent="0.25">
      <c r="A1054">
        <v>2018</v>
      </c>
      <c r="B1054" t="s">
        <v>855</v>
      </c>
    </row>
    <row r="1055" spans="1:2" x14ac:dyDescent="0.25">
      <c r="A1055">
        <v>2018</v>
      </c>
      <c r="B1055" t="s">
        <v>856</v>
      </c>
    </row>
    <row r="1056" spans="1:2" x14ac:dyDescent="0.25">
      <c r="A1056">
        <v>2018</v>
      </c>
      <c r="B1056" t="s">
        <v>471</v>
      </c>
    </row>
    <row r="1057" spans="1:2" x14ac:dyDescent="0.25">
      <c r="A1057">
        <v>2018</v>
      </c>
      <c r="B1057" t="s">
        <v>857</v>
      </c>
    </row>
    <row r="1058" spans="1:2" x14ac:dyDescent="0.25">
      <c r="A1058">
        <v>2018</v>
      </c>
      <c r="B1058" t="s">
        <v>472</v>
      </c>
    </row>
    <row r="1059" spans="1:2" x14ac:dyDescent="0.25">
      <c r="A1059">
        <v>2018</v>
      </c>
      <c r="B1059" t="s">
        <v>474</v>
      </c>
    </row>
    <row r="1060" spans="1:2" x14ac:dyDescent="0.25">
      <c r="A1060">
        <v>2018</v>
      </c>
      <c r="B1060" t="s">
        <v>858</v>
      </c>
    </row>
    <row r="1061" spans="1:2" x14ac:dyDescent="0.25">
      <c r="A1061">
        <v>2018</v>
      </c>
      <c r="B1061" t="s">
        <v>859</v>
      </c>
    </row>
    <row r="1062" spans="1:2" x14ac:dyDescent="0.25">
      <c r="A1062">
        <v>2018</v>
      </c>
      <c r="B1062" t="s">
        <v>476</v>
      </c>
    </row>
    <row r="1063" spans="1:2" x14ac:dyDescent="0.25">
      <c r="A1063">
        <v>2018</v>
      </c>
      <c r="B1063" t="s">
        <v>477</v>
      </c>
    </row>
    <row r="1064" spans="1:2" x14ac:dyDescent="0.25">
      <c r="A1064">
        <v>2018</v>
      </c>
      <c r="B1064" t="s">
        <v>860</v>
      </c>
    </row>
    <row r="1065" spans="1:2" x14ac:dyDescent="0.25">
      <c r="A1065">
        <v>2018</v>
      </c>
      <c r="B1065" t="s">
        <v>478</v>
      </c>
    </row>
    <row r="1066" spans="1:2" x14ac:dyDescent="0.25">
      <c r="A1066">
        <v>2018</v>
      </c>
      <c r="B1066" t="s">
        <v>479</v>
      </c>
    </row>
    <row r="1067" spans="1:2" x14ac:dyDescent="0.25">
      <c r="A1067">
        <v>2018</v>
      </c>
      <c r="B1067" t="s">
        <v>861</v>
      </c>
    </row>
    <row r="1068" spans="1:2" x14ac:dyDescent="0.25">
      <c r="A1068">
        <v>2018</v>
      </c>
      <c r="B1068" t="s">
        <v>862</v>
      </c>
    </row>
    <row r="1069" spans="1:2" x14ac:dyDescent="0.25">
      <c r="A1069">
        <v>2018</v>
      </c>
      <c r="B1069" t="s">
        <v>480</v>
      </c>
    </row>
    <row r="1070" spans="1:2" x14ac:dyDescent="0.25">
      <c r="A1070">
        <v>2018</v>
      </c>
      <c r="B1070" t="s">
        <v>481</v>
      </c>
    </row>
    <row r="1071" spans="1:2" x14ac:dyDescent="0.25">
      <c r="A1071">
        <v>2018</v>
      </c>
      <c r="B1071" t="s">
        <v>863</v>
      </c>
    </row>
    <row r="1072" spans="1:2" x14ac:dyDescent="0.25">
      <c r="A1072">
        <v>2018</v>
      </c>
      <c r="B1072" t="s">
        <v>864</v>
      </c>
    </row>
    <row r="1073" spans="1:2" x14ac:dyDescent="0.25">
      <c r="A1073">
        <v>2018</v>
      </c>
      <c r="B1073" t="s">
        <v>865</v>
      </c>
    </row>
    <row r="1074" spans="1:2" x14ac:dyDescent="0.25">
      <c r="A1074">
        <v>2018</v>
      </c>
      <c r="B1074" t="s">
        <v>484</v>
      </c>
    </row>
    <row r="1075" spans="1:2" x14ac:dyDescent="0.25">
      <c r="A1075">
        <v>2018</v>
      </c>
      <c r="B1075" t="s">
        <v>866</v>
      </c>
    </row>
    <row r="1076" spans="1:2" x14ac:dyDescent="0.25">
      <c r="A1076">
        <v>2018</v>
      </c>
      <c r="B1076" t="s">
        <v>867</v>
      </c>
    </row>
    <row r="1077" spans="1:2" x14ac:dyDescent="0.25">
      <c r="A1077">
        <v>2018</v>
      </c>
      <c r="B1077" t="s">
        <v>486</v>
      </c>
    </row>
    <row r="1078" spans="1:2" x14ac:dyDescent="0.25">
      <c r="A1078">
        <v>2018</v>
      </c>
      <c r="B1078" t="s">
        <v>487</v>
      </c>
    </row>
    <row r="1079" spans="1:2" x14ac:dyDescent="0.25">
      <c r="A1079">
        <v>2018</v>
      </c>
      <c r="B1079" t="s">
        <v>868</v>
      </c>
    </row>
    <row r="1080" spans="1:2" x14ac:dyDescent="0.25">
      <c r="A1080">
        <v>2018</v>
      </c>
      <c r="B1080" t="s">
        <v>488</v>
      </c>
    </row>
    <row r="1081" spans="1:2" x14ac:dyDescent="0.25">
      <c r="A1081">
        <v>2018</v>
      </c>
      <c r="B1081" t="s">
        <v>869</v>
      </c>
    </row>
    <row r="1082" spans="1:2" x14ac:dyDescent="0.25">
      <c r="A1082">
        <v>2018</v>
      </c>
      <c r="B1082" t="s">
        <v>490</v>
      </c>
    </row>
    <row r="1083" spans="1:2" x14ac:dyDescent="0.25">
      <c r="A1083">
        <v>2018</v>
      </c>
      <c r="B1083" t="s">
        <v>491</v>
      </c>
    </row>
    <row r="1084" spans="1:2" x14ac:dyDescent="0.25">
      <c r="A1084">
        <v>2018</v>
      </c>
      <c r="B1084" t="s">
        <v>870</v>
      </c>
    </row>
    <row r="1085" spans="1:2" x14ac:dyDescent="0.25">
      <c r="A1085">
        <v>2018</v>
      </c>
      <c r="B1085" t="s">
        <v>871</v>
      </c>
    </row>
    <row r="1086" spans="1:2" x14ac:dyDescent="0.25">
      <c r="A1086">
        <v>2018</v>
      </c>
      <c r="B1086" t="s">
        <v>872</v>
      </c>
    </row>
    <row r="1087" spans="1:2" x14ac:dyDescent="0.25">
      <c r="A1087">
        <v>2018</v>
      </c>
      <c r="B1087" t="s">
        <v>873</v>
      </c>
    </row>
    <row r="1088" spans="1:2" x14ac:dyDescent="0.25">
      <c r="A1088">
        <v>2018</v>
      </c>
      <c r="B1088" t="s">
        <v>874</v>
      </c>
    </row>
    <row r="1089" spans="1:2" x14ac:dyDescent="0.25">
      <c r="A1089">
        <v>2018</v>
      </c>
      <c r="B1089" t="s">
        <v>875</v>
      </c>
    </row>
    <row r="1090" spans="1:2" x14ac:dyDescent="0.25">
      <c r="A1090">
        <v>2018</v>
      </c>
      <c r="B1090" t="s">
        <v>876</v>
      </c>
    </row>
    <row r="1091" spans="1:2" x14ac:dyDescent="0.25">
      <c r="A1091">
        <v>2018</v>
      </c>
      <c r="B1091" t="s">
        <v>877</v>
      </c>
    </row>
    <row r="1092" spans="1:2" x14ac:dyDescent="0.25">
      <c r="A1092">
        <v>2018</v>
      </c>
      <c r="B1092" t="s">
        <v>502</v>
      </c>
    </row>
    <row r="1093" spans="1:2" x14ac:dyDescent="0.25">
      <c r="A1093">
        <v>2018</v>
      </c>
      <c r="B1093" t="s">
        <v>878</v>
      </c>
    </row>
    <row r="1094" spans="1:2" x14ac:dyDescent="0.25">
      <c r="A1094">
        <v>2018</v>
      </c>
      <c r="B1094" t="s">
        <v>504</v>
      </c>
    </row>
    <row r="1095" spans="1:2" x14ac:dyDescent="0.25">
      <c r="A1095">
        <v>2018</v>
      </c>
      <c r="B1095" t="s">
        <v>879</v>
      </c>
    </row>
    <row r="1096" spans="1:2" x14ac:dyDescent="0.25">
      <c r="A1096">
        <v>2018</v>
      </c>
      <c r="B1096" t="s">
        <v>880</v>
      </c>
    </row>
    <row r="1097" spans="1:2" x14ac:dyDescent="0.25">
      <c r="A1097">
        <v>2018</v>
      </c>
      <c r="B1097" t="s">
        <v>508</v>
      </c>
    </row>
    <row r="1098" spans="1:2" x14ac:dyDescent="0.25">
      <c r="A1098">
        <v>2018</v>
      </c>
      <c r="B1098" t="s">
        <v>881</v>
      </c>
    </row>
    <row r="1099" spans="1:2" x14ac:dyDescent="0.25">
      <c r="A1099">
        <v>2018</v>
      </c>
      <c r="B1099" t="s">
        <v>882</v>
      </c>
    </row>
    <row r="1100" spans="1:2" x14ac:dyDescent="0.25">
      <c r="A1100">
        <v>2018</v>
      </c>
      <c r="B1100" t="s">
        <v>883</v>
      </c>
    </row>
    <row r="1101" spans="1:2" x14ac:dyDescent="0.25">
      <c r="A1101">
        <v>2018</v>
      </c>
      <c r="B1101" t="s">
        <v>884</v>
      </c>
    </row>
    <row r="1102" spans="1:2" x14ac:dyDescent="0.25">
      <c r="A1102">
        <v>2018</v>
      </c>
      <c r="B1102" t="s">
        <v>885</v>
      </c>
    </row>
    <row r="1103" spans="1:2" x14ac:dyDescent="0.25">
      <c r="A1103">
        <v>2018</v>
      </c>
      <c r="B1103" t="s">
        <v>514</v>
      </c>
    </row>
    <row r="1104" spans="1:2" x14ac:dyDescent="0.25">
      <c r="A1104">
        <v>2018</v>
      </c>
      <c r="B1104" t="s">
        <v>886</v>
      </c>
    </row>
    <row r="1105" spans="1:2" x14ac:dyDescent="0.25">
      <c r="A1105">
        <v>2018</v>
      </c>
      <c r="B1105" t="s">
        <v>515</v>
      </c>
    </row>
    <row r="1106" spans="1:2" x14ac:dyDescent="0.25">
      <c r="A1106">
        <v>2018</v>
      </c>
      <c r="B1106" t="s">
        <v>516</v>
      </c>
    </row>
    <row r="1107" spans="1:2" x14ac:dyDescent="0.25">
      <c r="A1107">
        <v>2018</v>
      </c>
      <c r="B1107" t="s">
        <v>518</v>
      </c>
    </row>
    <row r="1108" spans="1:2" x14ac:dyDescent="0.25">
      <c r="A1108">
        <v>2018</v>
      </c>
      <c r="B1108" t="s">
        <v>519</v>
      </c>
    </row>
    <row r="1109" spans="1:2" x14ac:dyDescent="0.25">
      <c r="A1109">
        <v>2018</v>
      </c>
      <c r="B1109" t="s">
        <v>887</v>
      </c>
    </row>
    <row r="1110" spans="1:2" x14ac:dyDescent="0.25">
      <c r="A1110">
        <v>2018</v>
      </c>
      <c r="B1110" t="s">
        <v>520</v>
      </c>
    </row>
    <row r="1111" spans="1:2" x14ac:dyDescent="0.25">
      <c r="A1111">
        <v>2018</v>
      </c>
      <c r="B1111" t="s">
        <v>888</v>
      </c>
    </row>
    <row r="1112" spans="1:2" x14ac:dyDescent="0.25">
      <c r="A1112">
        <v>2018</v>
      </c>
      <c r="B1112" t="s">
        <v>889</v>
      </c>
    </row>
    <row r="1113" spans="1:2" x14ac:dyDescent="0.25">
      <c r="A1113">
        <v>2018</v>
      </c>
      <c r="B1113" t="s">
        <v>890</v>
      </c>
    </row>
    <row r="1114" spans="1:2" x14ac:dyDescent="0.25">
      <c r="A1114">
        <v>2018</v>
      </c>
      <c r="B1114" t="s">
        <v>891</v>
      </c>
    </row>
    <row r="1115" spans="1:2" x14ac:dyDescent="0.25">
      <c r="A1115">
        <v>2018</v>
      </c>
      <c r="B1115" t="s">
        <v>521</v>
      </c>
    </row>
    <row r="1116" spans="1:2" x14ac:dyDescent="0.25">
      <c r="A1116">
        <v>2018</v>
      </c>
      <c r="B1116" t="s">
        <v>892</v>
      </c>
    </row>
    <row r="1117" spans="1:2" x14ac:dyDescent="0.25">
      <c r="A1117">
        <v>2018</v>
      </c>
      <c r="B1117" t="s">
        <v>893</v>
      </c>
    </row>
    <row r="1118" spans="1:2" x14ac:dyDescent="0.25">
      <c r="A1118">
        <v>2018</v>
      </c>
      <c r="B1118" t="s">
        <v>894</v>
      </c>
    </row>
    <row r="1119" spans="1:2" x14ac:dyDescent="0.25">
      <c r="A1119">
        <v>2018</v>
      </c>
      <c r="B1119" t="s">
        <v>895</v>
      </c>
    </row>
    <row r="1120" spans="1:2" x14ac:dyDescent="0.25">
      <c r="A1120">
        <v>2018</v>
      </c>
      <c r="B1120" t="s">
        <v>896</v>
      </c>
    </row>
    <row r="1121" spans="1:2" x14ac:dyDescent="0.25">
      <c r="A1121">
        <v>2018</v>
      </c>
      <c r="B1121" t="s">
        <v>523</v>
      </c>
    </row>
    <row r="1122" spans="1:2" x14ac:dyDescent="0.25">
      <c r="A1122">
        <v>2018</v>
      </c>
      <c r="B1122" t="s">
        <v>897</v>
      </c>
    </row>
    <row r="1123" spans="1:2" x14ac:dyDescent="0.25">
      <c r="A1123">
        <v>2018</v>
      </c>
      <c r="B1123" t="s">
        <v>898</v>
      </c>
    </row>
    <row r="1124" spans="1:2" x14ac:dyDescent="0.25">
      <c r="A1124">
        <v>2018</v>
      </c>
      <c r="B1124" t="s">
        <v>899</v>
      </c>
    </row>
    <row r="1125" spans="1:2" x14ac:dyDescent="0.25">
      <c r="A1125">
        <v>2018</v>
      </c>
      <c r="B1125" t="s">
        <v>900</v>
      </c>
    </row>
    <row r="1126" spans="1:2" x14ac:dyDescent="0.25">
      <c r="A1126">
        <v>2018</v>
      </c>
      <c r="B1126" t="s">
        <v>901</v>
      </c>
    </row>
    <row r="1127" spans="1:2" x14ac:dyDescent="0.25">
      <c r="A1127">
        <v>2018</v>
      </c>
      <c r="B1127" t="s">
        <v>527</v>
      </c>
    </row>
    <row r="1128" spans="1:2" x14ac:dyDescent="0.25">
      <c r="A1128">
        <v>2018</v>
      </c>
      <c r="B1128" t="s">
        <v>902</v>
      </c>
    </row>
    <row r="1129" spans="1:2" x14ac:dyDescent="0.25">
      <c r="A1129">
        <v>2018</v>
      </c>
      <c r="B1129" t="s">
        <v>533</v>
      </c>
    </row>
    <row r="1130" spans="1:2" x14ac:dyDescent="0.25">
      <c r="A1130">
        <v>2018</v>
      </c>
      <c r="B1130" t="s">
        <v>534</v>
      </c>
    </row>
    <row r="1131" spans="1:2" x14ac:dyDescent="0.25">
      <c r="A1131">
        <v>2018</v>
      </c>
      <c r="B1131" t="s">
        <v>535</v>
      </c>
    </row>
    <row r="1132" spans="1:2" x14ac:dyDescent="0.25">
      <c r="A1132">
        <v>2018</v>
      </c>
      <c r="B1132" t="s">
        <v>903</v>
      </c>
    </row>
    <row r="1133" spans="1:2" x14ac:dyDescent="0.25">
      <c r="A1133">
        <v>2018</v>
      </c>
      <c r="B1133" t="s">
        <v>904</v>
      </c>
    </row>
    <row r="1134" spans="1:2" x14ac:dyDescent="0.25">
      <c r="A1134">
        <v>2018</v>
      </c>
      <c r="B1134" t="s">
        <v>905</v>
      </c>
    </row>
    <row r="1135" spans="1:2" x14ac:dyDescent="0.25">
      <c r="A1135">
        <v>2018</v>
      </c>
      <c r="B1135" t="s">
        <v>906</v>
      </c>
    </row>
    <row r="1136" spans="1:2" x14ac:dyDescent="0.25">
      <c r="A1136">
        <v>2018</v>
      </c>
      <c r="B1136" t="s">
        <v>538</v>
      </c>
    </row>
    <row r="1137" spans="1:2" x14ac:dyDescent="0.25">
      <c r="A1137">
        <v>2018</v>
      </c>
      <c r="B1137" t="s">
        <v>907</v>
      </c>
    </row>
    <row r="1138" spans="1:2" x14ac:dyDescent="0.25">
      <c r="A1138">
        <v>2018</v>
      </c>
      <c r="B1138" t="s">
        <v>541</v>
      </c>
    </row>
    <row r="1139" spans="1:2" x14ac:dyDescent="0.25">
      <c r="A1139">
        <v>2018</v>
      </c>
      <c r="B1139" t="s">
        <v>542</v>
      </c>
    </row>
    <row r="1140" spans="1:2" x14ac:dyDescent="0.25">
      <c r="A1140">
        <v>2018</v>
      </c>
      <c r="B1140" t="s">
        <v>908</v>
      </c>
    </row>
    <row r="1141" spans="1:2" x14ac:dyDescent="0.25">
      <c r="A1141">
        <v>2018</v>
      </c>
      <c r="B1141" t="s">
        <v>909</v>
      </c>
    </row>
    <row r="1142" spans="1:2" x14ac:dyDescent="0.25">
      <c r="A1142">
        <v>2018</v>
      </c>
      <c r="B1142" t="s">
        <v>910</v>
      </c>
    </row>
    <row r="1143" spans="1:2" x14ac:dyDescent="0.25">
      <c r="A1143">
        <v>2018</v>
      </c>
      <c r="B1143" t="s">
        <v>911</v>
      </c>
    </row>
    <row r="1144" spans="1:2" x14ac:dyDescent="0.25">
      <c r="A1144">
        <v>2018</v>
      </c>
      <c r="B1144" t="s">
        <v>912</v>
      </c>
    </row>
    <row r="1145" spans="1:2" x14ac:dyDescent="0.25">
      <c r="A1145">
        <v>2018</v>
      </c>
      <c r="B1145" t="s">
        <v>551</v>
      </c>
    </row>
    <row r="1146" spans="1:2" x14ac:dyDescent="0.25">
      <c r="A1146">
        <v>2018</v>
      </c>
      <c r="B1146" t="s">
        <v>913</v>
      </c>
    </row>
    <row r="1147" spans="1:2" x14ac:dyDescent="0.25">
      <c r="A1147">
        <v>2018</v>
      </c>
      <c r="B1147" t="s">
        <v>555</v>
      </c>
    </row>
    <row r="1148" spans="1:2" x14ac:dyDescent="0.25">
      <c r="A1148">
        <v>2018</v>
      </c>
      <c r="B1148" t="s">
        <v>914</v>
      </c>
    </row>
    <row r="1149" spans="1:2" x14ac:dyDescent="0.25">
      <c r="A1149">
        <v>2018</v>
      </c>
      <c r="B1149" t="s">
        <v>915</v>
      </c>
    </row>
    <row r="1150" spans="1:2" x14ac:dyDescent="0.25">
      <c r="A1150">
        <v>2018</v>
      </c>
      <c r="B1150" t="s">
        <v>558</v>
      </c>
    </row>
    <row r="1151" spans="1:2" x14ac:dyDescent="0.25">
      <c r="A1151">
        <v>2018</v>
      </c>
      <c r="B1151" t="s">
        <v>916</v>
      </c>
    </row>
    <row r="1152" spans="1:2" x14ac:dyDescent="0.25">
      <c r="A1152">
        <v>2018</v>
      </c>
      <c r="B1152" t="s">
        <v>917</v>
      </c>
    </row>
    <row r="1153" spans="1:2" x14ac:dyDescent="0.25">
      <c r="A1153">
        <v>2018</v>
      </c>
      <c r="B1153" t="s">
        <v>918</v>
      </c>
    </row>
    <row r="1154" spans="1:2" x14ac:dyDescent="0.25">
      <c r="A1154">
        <v>2018</v>
      </c>
      <c r="B1154" t="s">
        <v>919</v>
      </c>
    </row>
    <row r="1155" spans="1:2" x14ac:dyDescent="0.25">
      <c r="A1155">
        <v>2018</v>
      </c>
      <c r="B1155" t="s">
        <v>559</v>
      </c>
    </row>
    <row r="1156" spans="1:2" x14ac:dyDescent="0.25">
      <c r="A1156">
        <v>2018</v>
      </c>
      <c r="B1156" t="s">
        <v>560</v>
      </c>
    </row>
    <row r="1157" spans="1:2" x14ac:dyDescent="0.25">
      <c r="A1157">
        <v>2018</v>
      </c>
      <c r="B1157" t="s">
        <v>561</v>
      </c>
    </row>
    <row r="1158" spans="1:2" x14ac:dyDescent="0.25">
      <c r="A1158">
        <v>2018</v>
      </c>
      <c r="B1158" t="s">
        <v>565</v>
      </c>
    </row>
    <row r="1159" spans="1:2" x14ac:dyDescent="0.25">
      <c r="A1159">
        <v>2018</v>
      </c>
      <c r="B1159" t="s">
        <v>920</v>
      </c>
    </row>
    <row r="1160" spans="1:2" x14ac:dyDescent="0.25">
      <c r="A1160">
        <v>2018</v>
      </c>
      <c r="B1160" t="s">
        <v>566</v>
      </c>
    </row>
    <row r="1161" spans="1:2" x14ac:dyDescent="0.25">
      <c r="A1161">
        <v>2018</v>
      </c>
      <c r="B1161" t="s">
        <v>567</v>
      </c>
    </row>
    <row r="1162" spans="1:2" x14ac:dyDescent="0.25">
      <c r="A1162">
        <v>2018</v>
      </c>
      <c r="B1162" t="s">
        <v>921</v>
      </c>
    </row>
    <row r="1163" spans="1:2" x14ac:dyDescent="0.25">
      <c r="A1163">
        <v>2018</v>
      </c>
      <c r="B1163" t="s">
        <v>922</v>
      </c>
    </row>
    <row r="1164" spans="1:2" x14ac:dyDescent="0.25">
      <c r="A1164">
        <v>2018</v>
      </c>
      <c r="B1164" t="s">
        <v>573</v>
      </c>
    </row>
    <row r="1165" spans="1:2" x14ac:dyDescent="0.25">
      <c r="A1165">
        <v>2019</v>
      </c>
      <c r="B1165" t="s">
        <v>68</v>
      </c>
    </row>
    <row r="1166" spans="1:2" x14ac:dyDescent="0.25">
      <c r="A1166">
        <v>2019</v>
      </c>
      <c r="B1166" t="s">
        <v>923</v>
      </c>
    </row>
    <row r="1167" spans="1:2" x14ac:dyDescent="0.25">
      <c r="A1167">
        <v>2019</v>
      </c>
      <c r="B1167" t="s">
        <v>91</v>
      </c>
    </row>
    <row r="1168" spans="1:2" x14ac:dyDescent="0.25">
      <c r="A1168">
        <v>2019</v>
      </c>
      <c r="B1168" t="s">
        <v>93</v>
      </c>
    </row>
    <row r="1169" spans="1:2" x14ac:dyDescent="0.25">
      <c r="A1169">
        <v>2019</v>
      </c>
      <c r="B1169" t="s">
        <v>95</v>
      </c>
    </row>
    <row r="1170" spans="1:2" x14ac:dyDescent="0.25">
      <c r="A1170">
        <v>2019</v>
      </c>
      <c r="B1170" t="s">
        <v>112</v>
      </c>
    </row>
    <row r="1171" spans="1:2" x14ac:dyDescent="0.25">
      <c r="A1171">
        <v>2019</v>
      </c>
      <c r="B1171" t="s">
        <v>118</v>
      </c>
    </row>
    <row r="1172" spans="1:2" x14ac:dyDescent="0.25">
      <c r="A1172">
        <v>2019</v>
      </c>
      <c r="B1172" t="s">
        <v>599</v>
      </c>
    </row>
    <row r="1173" spans="1:2" x14ac:dyDescent="0.25">
      <c r="A1173">
        <v>2019</v>
      </c>
      <c r="B1173" t="s">
        <v>129</v>
      </c>
    </row>
    <row r="1174" spans="1:2" x14ac:dyDescent="0.25">
      <c r="A1174">
        <v>2019</v>
      </c>
      <c r="B1174" t="s">
        <v>620</v>
      </c>
    </row>
    <row r="1175" spans="1:2" x14ac:dyDescent="0.25">
      <c r="A1175">
        <v>2019</v>
      </c>
      <c r="B1175" t="s">
        <v>924</v>
      </c>
    </row>
    <row r="1176" spans="1:2" x14ac:dyDescent="0.25">
      <c r="A1176">
        <v>2019</v>
      </c>
      <c r="B1176" t="s">
        <v>925</v>
      </c>
    </row>
    <row r="1177" spans="1:2" x14ac:dyDescent="0.25">
      <c r="A1177">
        <v>2019</v>
      </c>
      <c r="B1177" t="s">
        <v>155</v>
      </c>
    </row>
    <row r="1178" spans="1:2" x14ac:dyDescent="0.25">
      <c r="A1178">
        <v>2019</v>
      </c>
      <c r="B1178" t="s">
        <v>926</v>
      </c>
    </row>
    <row r="1179" spans="1:2" x14ac:dyDescent="0.25">
      <c r="A1179">
        <v>2019</v>
      </c>
      <c r="B1179" t="s">
        <v>160</v>
      </c>
    </row>
    <row r="1180" spans="1:2" x14ac:dyDescent="0.25">
      <c r="A1180">
        <v>2019</v>
      </c>
      <c r="B1180" t="s">
        <v>638</v>
      </c>
    </row>
    <row r="1181" spans="1:2" x14ac:dyDescent="0.25">
      <c r="A1181">
        <v>2019</v>
      </c>
      <c r="B1181" t="s">
        <v>173</v>
      </c>
    </row>
    <row r="1182" spans="1:2" x14ac:dyDescent="0.25">
      <c r="A1182">
        <v>2019</v>
      </c>
      <c r="B1182" t="s">
        <v>927</v>
      </c>
    </row>
    <row r="1183" spans="1:2" x14ac:dyDescent="0.25">
      <c r="A1183">
        <v>2019</v>
      </c>
      <c r="B1183" t="s">
        <v>191</v>
      </c>
    </row>
    <row r="1184" spans="1:2" x14ac:dyDescent="0.25">
      <c r="A1184">
        <v>2019</v>
      </c>
      <c r="B1184" t="s">
        <v>200</v>
      </c>
    </row>
    <row r="1185" spans="1:2" x14ac:dyDescent="0.25">
      <c r="A1185">
        <v>2019</v>
      </c>
      <c r="B1185" t="s">
        <v>928</v>
      </c>
    </row>
    <row r="1186" spans="1:2" x14ac:dyDescent="0.25">
      <c r="A1186">
        <v>2019</v>
      </c>
      <c r="B1186" t="s">
        <v>230</v>
      </c>
    </row>
    <row r="1187" spans="1:2" x14ac:dyDescent="0.25">
      <c r="A1187">
        <v>2019</v>
      </c>
      <c r="B1187" t="s">
        <v>239</v>
      </c>
    </row>
    <row r="1188" spans="1:2" x14ac:dyDescent="0.25">
      <c r="A1188">
        <v>2019</v>
      </c>
      <c r="B1188" t="s">
        <v>929</v>
      </c>
    </row>
    <row r="1189" spans="1:2" x14ac:dyDescent="0.25">
      <c r="A1189">
        <v>2019</v>
      </c>
      <c r="B1189" t="s">
        <v>930</v>
      </c>
    </row>
    <row r="1190" spans="1:2" x14ac:dyDescent="0.25">
      <c r="A1190">
        <v>2019</v>
      </c>
      <c r="B1190" t="s">
        <v>687</v>
      </c>
    </row>
    <row r="1191" spans="1:2" x14ac:dyDescent="0.25">
      <c r="A1191">
        <v>2019</v>
      </c>
      <c r="B1191" t="s">
        <v>691</v>
      </c>
    </row>
    <row r="1192" spans="1:2" x14ac:dyDescent="0.25">
      <c r="A1192">
        <v>2019</v>
      </c>
      <c r="B1192" t="s">
        <v>264</v>
      </c>
    </row>
    <row r="1193" spans="1:2" x14ac:dyDescent="0.25">
      <c r="A1193">
        <v>2019</v>
      </c>
      <c r="B1193" t="s">
        <v>931</v>
      </c>
    </row>
    <row r="1194" spans="1:2" x14ac:dyDescent="0.25">
      <c r="A1194">
        <v>2019</v>
      </c>
      <c r="B1194" t="s">
        <v>695</v>
      </c>
    </row>
    <row r="1195" spans="1:2" x14ac:dyDescent="0.25">
      <c r="A1195">
        <v>2019</v>
      </c>
      <c r="B1195" t="s">
        <v>308</v>
      </c>
    </row>
    <row r="1196" spans="1:2" x14ac:dyDescent="0.25">
      <c r="A1196">
        <v>2019</v>
      </c>
      <c r="B1196" t="s">
        <v>932</v>
      </c>
    </row>
    <row r="1197" spans="1:2" x14ac:dyDescent="0.25">
      <c r="A1197">
        <v>2019</v>
      </c>
      <c r="B1197" t="s">
        <v>321</v>
      </c>
    </row>
    <row r="1198" spans="1:2" x14ac:dyDescent="0.25">
      <c r="A1198">
        <v>2019</v>
      </c>
      <c r="B1198" t="s">
        <v>752</v>
      </c>
    </row>
    <row r="1199" spans="1:2" x14ac:dyDescent="0.25">
      <c r="A1199">
        <v>2019</v>
      </c>
      <c r="B1199" t="s">
        <v>933</v>
      </c>
    </row>
    <row r="1200" spans="1:2" x14ac:dyDescent="0.25">
      <c r="A1200">
        <v>2019</v>
      </c>
      <c r="B1200" t="s">
        <v>934</v>
      </c>
    </row>
    <row r="1201" spans="1:2" x14ac:dyDescent="0.25">
      <c r="A1201">
        <v>2019</v>
      </c>
      <c r="B1201" t="s">
        <v>935</v>
      </c>
    </row>
    <row r="1202" spans="1:2" x14ac:dyDescent="0.25">
      <c r="A1202">
        <v>2019</v>
      </c>
      <c r="B1202" t="s">
        <v>936</v>
      </c>
    </row>
    <row r="1203" spans="1:2" x14ac:dyDescent="0.25">
      <c r="A1203">
        <v>2019</v>
      </c>
      <c r="B1203" t="s">
        <v>369</v>
      </c>
    </row>
    <row r="1204" spans="1:2" x14ac:dyDescent="0.25">
      <c r="A1204">
        <v>2019</v>
      </c>
      <c r="B1204" t="s">
        <v>789</v>
      </c>
    </row>
    <row r="1205" spans="1:2" x14ac:dyDescent="0.25">
      <c r="A1205">
        <v>2019</v>
      </c>
      <c r="B1205" t="s">
        <v>377</v>
      </c>
    </row>
    <row r="1206" spans="1:2" x14ac:dyDescent="0.25">
      <c r="A1206">
        <v>2019</v>
      </c>
      <c r="B1206" t="s">
        <v>383</v>
      </c>
    </row>
    <row r="1207" spans="1:2" x14ac:dyDescent="0.25">
      <c r="A1207">
        <v>2019</v>
      </c>
      <c r="B1207" t="s">
        <v>416</v>
      </c>
    </row>
    <row r="1208" spans="1:2" x14ac:dyDescent="0.25">
      <c r="A1208">
        <v>2019</v>
      </c>
      <c r="B1208" t="s">
        <v>937</v>
      </c>
    </row>
    <row r="1209" spans="1:2" x14ac:dyDescent="0.25">
      <c r="A1209">
        <v>2019</v>
      </c>
      <c r="B1209" t="s">
        <v>835</v>
      </c>
    </row>
    <row r="1210" spans="1:2" x14ac:dyDescent="0.25">
      <c r="A1210">
        <v>2019</v>
      </c>
      <c r="B1210" t="s">
        <v>429</v>
      </c>
    </row>
    <row r="1211" spans="1:2" x14ac:dyDescent="0.25">
      <c r="A1211">
        <v>2019</v>
      </c>
      <c r="B1211" t="s">
        <v>845</v>
      </c>
    </row>
    <row r="1212" spans="1:2" x14ac:dyDescent="0.25">
      <c r="A1212">
        <v>2019</v>
      </c>
      <c r="B1212" t="s">
        <v>938</v>
      </c>
    </row>
    <row r="1213" spans="1:2" x14ac:dyDescent="0.25">
      <c r="A1213">
        <v>2019</v>
      </c>
      <c r="B1213" t="s">
        <v>459</v>
      </c>
    </row>
    <row r="1214" spans="1:2" x14ac:dyDescent="0.25">
      <c r="A1214">
        <v>2019</v>
      </c>
      <c r="B1214" t="s">
        <v>850</v>
      </c>
    </row>
    <row r="1215" spans="1:2" x14ac:dyDescent="0.25">
      <c r="A1215">
        <v>2019</v>
      </c>
      <c r="B1215" t="s">
        <v>460</v>
      </c>
    </row>
    <row r="1216" spans="1:2" x14ac:dyDescent="0.25">
      <c r="A1216">
        <v>2019</v>
      </c>
      <c r="B1216" t="s">
        <v>462</v>
      </c>
    </row>
    <row r="1217" spans="1:2" x14ac:dyDescent="0.25">
      <c r="A1217">
        <v>2019</v>
      </c>
      <c r="B1217" t="s">
        <v>480</v>
      </c>
    </row>
    <row r="1218" spans="1:2" x14ac:dyDescent="0.25">
      <c r="A1218">
        <v>2019</v>
      </c>
      <c r="B1218" t="s">
        <v>491</v>
      </c>
    </row>
    <row r="1219" spans="1:2" x14ac:dyDescent="0.25">
      <c r="A1219">
        <v>2019</v>
      </c>
      <c r="B1219" t="s">
        <v>939</v>
      </c>
    </row>
    <row r="1220" spans="1:2" x14ac:dyDescent="0.25">
      <c r="A1220">
        <v>2019</v>
      </c>
      <c r="B1220" t="s">
        <v>878</v>
      </c>
    </row>
    <row r="1221" spans="1:2" x14ac:dyDescent="0.25">
      <c r="A1221">
        <v>2019</v>
      </c>
      <c r="B1221" t="s">
        <v>504</v>
      </c>
    </row>
    <row r="1222" spans="1:2" x14ac:dyDescent="0.25">
      <c r="A1222">
        <v>2019</v>
      </c>
      <c r="B1222" t="s">
        <v>940</v>
      </c>
    </row>
    <row r="1223" spans="1:2" x14ac:dyDescent="0.25">
      <c r="A1223">
        <v>2019</v>
      </c>
      <c r="B1223" t="s">
        <v>518</v>
      </c>
    </row>
    <row r="1224" spans="1:2" x14ac:dyDescent="0.25">
      <c r="A1224">
        <v>2019</v>
      </c>
      <c r="B1224" t="s">
        <v>920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C0AC6-2A72-4F08-BE26-C90A23C88E47}">
  <sheetPr codeName="Sheet41"/>
  <dimension ref="A1:G595"/>
  <sheetViews>
    <sheetView workbookViewId="0">
      <selection sqref="A1:XFD1048576"/>
    </sheetView>
  </sheetViews>
  <sheetFormatPr defaultRowHeight="15" x14ac:dyDescent="0.25"/>
  <sheetData>
    <row r="1" spans="1:7" x14ac:dyDescent="0.25">
      <c r="A1" t="s">
        <v>46</v>
      </c>
      <c r="B1" t="s">
        <v>47</v>
      </c>
      <c r="C1" t="s">
        <v>48</v>
      </c>
      <c r="D1" t="s">
        <v>49</v>
      </c>
      <c r="E1" t="s">
        <v>941</v>
      </c>
    </row>
    <row r="2" spans="1:7" x14ac:dyDescent="0.25">
      <c r="A2" t="s">
        <v>52</v>
      </c>
      <c r="B2" t="s">
        <v>942</v>
      </c>
      <c r="C2" t="s">
        <v>54</v>
      </c>
      <c r="D2" t="s">
        <v>54</v>
      </c>
      <c r="E2" t="s">
        <v>943</v>
      </c>
    </row>
    <row r="4" spans="1:7" x14ac:dyDescent="0.25">
      <c r="A4" t="s">
        <v>944</v>
      </c>
      <c r="B4" t="s">
        <v>945</v>
      </c>
      <c r="C4" t="s">
        <v>946</v>
      </c>
      <c r="D4" t="s">
        <v>947</v>
      </c>
      <c r="E4" t="s">
        <v>948</v>
      </c>
      <c r="F4" t="s">
        <v>949</v>
      </c>
      <c r="G4" t="s">
        <v>950</v>
      </c>
    </row>
    <row r="5" spans="1:7" x14ac:dyDescent="0.25">
      <c r="A5">
        <v>1972</v>
      </c>
      <c r="B5" t="s">
        <v>951</v>
      </c>
      <c r="C5">
        <v>48160</v>
      </c>
      <c r="D5" t="s">
        <v>16</v>
      </c>
      <c r="E5">
        <v>1</v>
      </c>
      <c r="F5" t="s">
        <v>16</v>
      </c>
      <c r="G5">
        <v>1</v>
      </c>
    </row>
    <row r="6" spans="1:7" x14ac:dyDescent="0.25">
      <c r="A6">
        <v>1975</v>
      </c>
      <c r="B6" t="s">
        <v>951</v>
      </c>
      <c r="C6">
        <v>48176</v>
      </c>
      <c r="D6" t="s">
        <v>952</v>
      </c>
      <c r="E6">
        <v>0</v>
      </c>
      <c r="F6" t="s">
        <v>18</v>
      </c>
      <c r="G6">
        <v>4</v>
      </c>
    </row>
    <row r="7" spans="1:7" x14ac:dyDescent="0.25">
      <c r="A7">
        <v>1964</v>
      </c>
      <c r="B7" t="s">
        <v>953</v>
      </c>
      <c r="C7">
        <v>49286</v>
      </c>
      <c r="D7" t="s">
        <v>18</v>
      </c>
      <c r="E7">
        <v>4</v>
      </c>
      <c r="F7" t="s">
        <v>18</v>
      </c>
      <c r="G7">
        <v>4</v>
      </c>
    </row>
    <row r="8" spans="1:7" x14ac:dyDescent="0.25">
      <c r="A8">
        <v>1973</v>
      </c>
      <c r="B8" t="s">
        <v>951</v>
      </c>
      <c r="C8">
        <v>48843</v>
      </c>
      <c r="D8" t="s">
        <v>18</v>
      </c>
      <c r="E8">
        <v>4</v>
      </c>
      <c r="F8" t="s">
        <v>18</v>
      </c>
      <c r="G8">
        <v>4</v>
      </c>
    </row>
    <row r="9" spans="1:7" x14ac:dyDescent="0.25">
      <c r="A9">
        <v>1962</v>
      </c>
      <c r="B9" t="s">
        <v>951</v>
      </c>
      <c r="C9">
        <v>48108</v>
      </c>
      <c r="D9" t="s">
        <v>18</v>
      </c>
      <c r="E9">
        <v>3</v>
      </c>
      <c r="F9" t="s">
        <v>18</v>
      </c>
      <c r="G9">
        <v>3</v>
      </c>
    </row>
    <row r="10" spans="1:7" x14ac:dyDescent="0.25">
      <c r="A10">
        <v>1979</v>
      </c>
      <c r="B10" t="s">
        <v>951</v>
      </c>
      <c r="C10">
        <v>48108</v>
      </c>
      <c r="D10" t="s">
        <v>18</v>
      </c>
      <c r="E10">
        <v>4</v>
      </c>
      <c r="F10" t="s">
        <v>18</v>
      </c>
      <c r="G10">
        <v>4</v>
      </c>
    </row>
    <row r="11" spans="1:7" x14ac:dyDescent="0.25">
      <c r="A11">
        <v>1977</v>
      </c>
      <c r="B11" t="s">
        <v>951</v>
      </c>
      <c r="C11">
        <v>48176</v>
      </c>
      <c r="D11" t="s">
        <v>18</v>
      </c>
      <c r="E11">
        <v>4</v>
      </c>
      <c r="F11" t="s">
        <v>18</v>
      </c>
      <c r="G11">
        <v>4</v>
      </c>
    </row>
    <row r="12" spans="1:7" x14ac:dyDescent="0.25">
      <c r="A12">
        <v>1971</v>
      </c>
      <c r="B12" t="s">
        <v>951</v>
      </c>
      <c r="C12">
        <v>48176</v>
      </c>
      <c r="D12" t="s">
        <v>18</v>
      </c>
      <c r="E12">
        <v>4</v>
      </c>
      <c r="F12" t="s">
        <v>18</v>
      </c>
      <c r="G12">
        <v>4</v>
      </c>
    </row>
    <row r="13" spans="1:7" x14ac:dyDescent="0.25">
      <c r="A13">
        <v>1960</v>
      </c>
      <c r="B13" t="s">
        <v>951</v>
      </c>
      <c r="C13">
        <v>48176</v>
      </c>
      <c r="D13" t="s">
        <v>16</v>
      </c>
      <c r="E13">
        <v>1</v>
      </c>
      <c r="F13" t="s">
        <v>16</v>
      </c>
      <c r="G13">
        <v>1</v>
      </c>
    </row>
    <row r="14" spans="1:7" x14ac:dyDescent="0.25">
      <c r="A14">
        <v>1979</v>
      </c>
      <c r="B14" t="s">
        <v>953</v>
      </c>
      <c r="C14">
        <v>48188</v>
      </c>
      <c r="D14" t="s">
        <v>18</v>
      </c>
      <c r="E14">
        <v>5</v>
      </c>
      <c r="F14" t="s">
        <v>18</v>
      </c>
      <c r="G14">
        <v>5</v>
      </c>
    </row>
    <row r="15" spans="1:7" x14ac:dyDescent="0.25">
      <c r="A15">
        <v>1971</v>
      </c>
      <c r="B15" t="s">
        <v>953</v>
      </c>
      <c r="C15">
        <v>48114</v>
      </c>
      <c r="D15" t="s">
        <v>18</v>
      </c>
      <c r="E15">
        <v>4</v>
      </c>
      <c r="F15" t="s">
        <v>18</v>
      </c>
      <c r="G15">
        <v>4</v>
      </c>
    </row>
    <row r="16" spans="1:7" x14ac:dyDescent="0.25">
      <c r="A16">
        <v>1953</v>
      </c>
      <c r="B16" t="s">
        <v>953</v>
      </c>
      <c r="C16">
        <v>48176</v>
      </c>
      <c r="D16" t="s">
        <v>16</v>
      </c>
      <c r="E16">
        <v>1</v>
      </c>
      <c r="F16" t="s">
        <v>16</v>
      </c>
      <c r="G16">
        <v>1</v>
      </c>
    </row>
    <row r="17" spans="1:7" x14ac:dyDescent="0.25">
      <c r="A17">
        <v>1971</v>
      </c>
      <c r="B17" t="s">
        <v>953</v>
      </c>
      <c r="C17">
        <v>48176</v>
      </c>
      <c r="D17" t="s">
        <v>18</v>
      </c>
      <c r="E17">
        <v>4</v>
      </c>
      <c r="F17" t="s">
        <v>18</v>
      </c>
      <c r="G17">
        <v>4</v>
      </c>
    </row>
    <row r="18" spans="1:7" x14ac:dyDescent="0.25">
      <c r="A18">
        <v>1968</v>
      </c>
      <c r="B18" t="s">
        <v>951</v>
      </c>
      <c r="C18">
        <v>48176</v>
      </c>
      <c r="D18" t="s">
        <v>18</v>
      </c>
      <c r="E18">
        <v>4</v>
      </c>
      <c r="F18" t="s">
        <v>18</v>
      </c>
      <c r="G18">
        <v>4</v>
      </c>
    </row>
    <row r="19" spans="1:7" x14ac:dyDescent="0.25">
      <c r="A19">
        <v>1973</v>
      </c>
      <c r="B19" t="s">
        <v>951</v>
      </c>
      <c r="C19">
        <v>48103</v>
      </c>
      <c r="D19" t="s">
        <v>18</v>
      </c>
      <c r="E19">
        <v>4</v>
      </c>
      <c r="F19" t="s">
        <v>18</v>
      </c>
      <c r="G19">
        <v>4</v>
      </c>
    </row>
    <row r="20" spans="1:7" x14ac:dyDescent="0.25">
      <c r="A20">
        <v>1973</v>
      </c>
      <c r="B20" t="s">
        <v>951</v>
      </c>
      <c r="C20">
        <v>48176</v>
      </c>
      <c r="D20" t="s">
        <v>18</v>
      </c>
      <c r="E20">
        <v>4</v>
      </c>
      <c r="F20" t="s">
        <v>18</v>
      </c>
      <c r="G20">
        <v>4</v>
      </c>
    </row>
    <row r="21" spans="1:7" x14ac:dyDescent="0.25">
      <c r="A21">
        <v>1967</v>
      </c>
      <c r="B21" t="s">
        <v>953</v>
      </c>
      <c r="C21">
        <v>43616</v>
      </c>
      <c r="D21" t="s">
        <v>18</v>
      </c>
      <c r="E21">
        <v>4</v>
      </c>
      <c r="F21" t="s">
        <v>18</v>
      </c>
      <c r="G21">
        <v>4</v>
      </c>
    </row>
    <row r="22" spans="1:7" x14ac:dyDescent="0.25">
      <c r="A22">
        <v>1966</v>
      </c>
      <c r="B22" t="s">
        <v>951</v>
      </c>
      <c r="C22">
        <v>48103</v>
      </c>
      <c r="D22" t="s">
        <v>17</v>
      </c>
      <c r="E22">
        <v>2</v>
      </c>
      <c r="F22" t="s">
        <v>17</v>
      </c>
      <c r="G22">
        <v>2</v>
      </c>
    </row>
    <row r="23" spans="1:7" x14ac:dyDescent="0.25">
      <c r="A23">
        <v>1969</v>
      </c>
      <c r="B23" t="s">
        <v>953</v>
      </c>
      <c r="C23">
        <v>48108</v>
      </c>
      <c r="D23" t="s">
        <v>18</v>
      </c>
      <c r="E23">
        <v>3</v>
      </c>
      <c r="F23" t="s">
        <v>18</v>
      </c>
      <c r="G23">
        <v>3</v>
      </c>
    </row>
    <row r="24" spans="1:7" x14ac:dyDescent="0.25">
      <c r="A24">
        <v>1968</v>
      </c>
      <c r="B24" t="s">
        <v>953</v>
      </c>
      <c r="C24">
        <v>48176</v>
      </c>
      <c r="D24" t="s">
        <v>18</v>
      </c>
      <c r="E24">
        <v>6</v>
      </c>
      <c r="F24" t="s">
        <v>18</v>
      </c>
      <c r="G24">
        <v>6</v>
      </c>
    </row>
    <row r="25" spans="1:7" x14ac:dyDescent="0.25">
      <c r="A25">
        <v>1971</v>
      </c>
      <c r="B25" t="s">
        <v>951</v>
      </c>
      <c r="C25">
        <v>48108</v>
      </c>
      <c r="D25" t="s">
        <v>952</v>
      </c>
      <c r="E25">
        <v>0</v>
      </c>
      <c r="F25" t="s">
        <v>18</v>
      </c>
      <c r="G25">
        <v>4</v>
      </c>
    </row>
    <row r="26" spans="1:7" x14ac:dyDescent="0.25">
      <c r="A26">
        <v>1960</v>
      </c>
      <c r="B26" t="s">
        <v>951</v>
      </c>
      <c r="C26">
        <v>48170</v>
      </c>
      <c r="D26" t="s">
        <v>18</v>
      </c>
      <c r="E26">
        <v>4</v>
      </c>
      <c r="F26" t="s">
        <v>18</v>
      </c>
      <c r="G26">
        <v>4</v>
      </c>
    </row>
    <row r="27" spans="1:7" x14ac:dyDescent="0.25">
      <c r="A27">
        <v>1973</v>
      </c>
      <c r="B27" t="s">
        <v>951</v>
      </c>
      <c r="C27">
        <v>48183</v>
      </c>
      <c r="D27" t="s">
        <v>18</v>
      </c>
      <c r="E27">
        <v>3</v>
      </c>
      <c r="F27" t="s">
        <v>18</v>
      </c>
      <c r="G27">
        <v>3</v>
      </c>
    </row>
    <row r="28" spans="1:7" x14ac:dyDescent="0.25">
      <c r="A28">
        <v>1965</v>
      </c>
      <c r="B28" t="s">
        <v>953</v>
      </c>
      <c r="C28">
        <v>48176</v>
      </c>
      <c r="D28" t="s">
        <v>952</v>
      </c>
      <c r="E28">
        <v>0</v>
      </c>
      <c r="F28" t="s">
        <v>18</v>
      </c>
      <c r="G28">
        <v>3</v>
      </c>
    </row>
    <row r="29" spans="1:7" x14ac:dyDescent="0.25">
      <c r="A29">
        <v>1976</v>
      </c>
      <c r="B29" t="s">
        <v>951</v>
      </c>
      <c r="C29">
        <v>48176</v>
      </c>
      <c r="D29" t="s">
        <v>18</v>
      </c>
      <c r="E29">
        <v>4</v>
      </c>
      <c r="F29" t="s">
        <v>18</v>
      </c>
      <c r="G29">
        <v>4</v>
      </c>
    </row>
    <row r="30" spans="1:7" x14ac:dyDescent="0.25">
      <c r="A30">
        <v>1968</v>
      </c>
      <c r="B30" t="s">
        <v>951</v>
      </c>
      <c r="C30">
        <v>48104</v>
      </c>
      <c r="D30" t="s">
        <v>18</v>
      </c>
      <c r="E30">
        <v>3</v>
      </c>
      <c r="F30" t="s">
        <v>17</v>
      </c>
      <c r="G30">
        <v>2</v>
      </c>
    </row>
    <row r="31" spans="1:7" x14ac:dyDescent="0.25">
      <c r="A31">
        <v>1967</v>
      </c>
      <c r="B31" t="s">
        <v>951</v>
      </c>
      <c r="C31">
        <v>48130</v>
      </c>
      <c r="D31" t="s">
        <v>952</v>
      </c>
      <c r="E31">
        <v>0</v>
      </c>
      <c r="F31" t="s">
        <v>16</v>
      </c>
      <c r="G31">
        <v>1</v>
      </c>
    </row>
    <row r="32" spans="1:7" x14ac:dyDescent="0.25">
      <c r="A32">
        <v>1976</v>
      </c>
      <c r="B32" t="s">
        <v>951</v>
      </c>
      <c r="C32">
        <v>48176</v>
      </c>
      <c r="D32" t="s">
        <v>18</v>
      </c>
      <c r="E32">
        <v>4</v>
      </c>
      <c r="F32" t="s">
        <v>18</v>
      </c>
      <c r="G32">
        <v>4</v>
      </c>
    </row>
    <row r="33" spans="1:7" x14ac:dyDescent="0.25">
      <c r="A33">
        <v>1978</v>
      </c>
      <c r="B33" t="s">
        <v>951</v>
      </c>
      <c r="C33">
        <v>48176</v>
      </c>
      <c r="D33" t="s">
        <v>952</v>
      </c>
      <c r="E33">
        <v>0</v>
      </c>
      <c r="F33" t="s">
        <v>18</v>
      </c>
      <c r="G33">
        <v>5</v>
      </c>
    </row>
    <row r="34" spans="1:7" x14ac:dyDescent="0.25">
      <c r="A34">
        <v>1969</v>
      </c>
      <c r="B34" t="s">
        <v>951</v>
      </c>
      <c r="C34">
        <v>48198</v>
      </c>
      <c r="D34" t="s">
        <v>18</v>
      </c>
      <c r="E34">
        <v>4</v>
      </c>
      <c r="F34" t="s">
        <v>18</v>
      </c>
      <c r="G34">
        <v>4</v>
      </c>
    </row>
    <row r="35" spans="1:7" x14ac:dyDescent="0.25">
      <c r="A35">
        <v>1957</v>
      </c>
      <c r="B35" t="s">
        <v>951</v>
      </c>
      <c r="C35">
        <v>48176</v>
      </c>
      <c r="D35" t="s">
        <v>17</v>
      </c>
      <c r="E35">
        <v>2</v>
      </c>
      <c r="F35" t="s">
        <v>17</v>
      </c>
      <c r="G35">
        <v>2</v>
      </c>
    </row>
    <row r="36" spans="1:7" x14ac:dyDescent="0.25">
      <c r="A36">
        <v>1961</v>
      </c>
      <c r="B36" t="s">
        <v>953</v>
      </c>
      <c r="C36">
        <v>48176</v>
      </c>
      <c r="D36" t="s">
        <v>16</v>
      </c>
      <c r="E36">
        <v>1</v>
      </c>
      <c r="F36" t="s">
        <v>16</v>
      </c>
      <c r="G36">
        <v>1</v>
      </c>
    </row>
    <row r="37" spans="1:7" x14ac:dyDescent="0.25">
      <c r="A37">
        <v>1961</v>
      </c>
      <c r="B37" t="s">
        <v>953</v>
      </c>
      <c r="C37">
        <v>48176</v>
      </c>
      <c r="D37" t="s">
        <v>18</v>
      </c>
      <c r="E37">
        <v>3</v>
      </c>
      <c r="F37" t="s">
        <v>18</v>
      </c>
      <c r="G37">
        <v>3</v>
      </c>
    </row>
    <row r="38" spans="1:7" x14ac:dyDescent="0.25">
      <c r="A38">
        <v>1962</v>
      </c>
      <c r="B38" t="s">
        <v>951</v>
      </c>
      <c r="C38">
        <v>48160</v>
      </c>
      <c r="D38" t="s">
        <v>18</v>
      </c>
      <c r="E38">
        <v>3</v>
      </c>
      <c r="F38" t="s">
        <v>18</v>
      </c>
      <c r="G38">
        <v>3</v>
      </c>
    </row>
    <row r="39" spans="1:7" x14ac:dyDescent="0.25">
      <c r="A39">
        <v>1971</v>
      </c>
      <c r="B39" t="s">
        <v>951</v>
      </c>
      <c r="C39">
        <v>48103</v>
      </c>
      <c r="D39" t="s">
        <v>18</v>
      </c>
      <c r="E39">
        <v>4</v>
      </c>
      <c r="F39" t="s">
        <v>18</v>
      </c>
      <c r="G39">
        <v>4</v>
      </c>
    </row>
    <row r="40" spans="1:7" x14ac:dyDescent="0.25">
      <c r="A40">
        <v>1968</v>
      </c>
      <c r="B40" t="s">
        <v>951</v>
      </c>
      <c r="C40">
        <v>48197</v>
      </c>
      <c r="D40" t="s">
        <v>952</v>
      </c>
      <c r="E40">
        <v>0</v>
      </c>
      <c r="F40" t="s">
        <v>18</v>
      </c>
      <c r="G40">
        <v>5</v>
      </c>
    </row>
    <row r="41" spans="1:7" x14ac:dyDescent="0.25">
      <c r="A41">
        <v>1963</v>
      </c>
      <c r="B41" t="s">
        <v>951</v>
      </c>
      <c r="C41">
        <v>48111</v>
      </c>
      <c r="D41" t="s">
        <v>16</v>
      </c>
      <c r="E41">
        <v>1</v>
      </c>
      <c r="F41" t="s">
        <v>16</v>
      </c>
      <c r="G41">
        <v>1</v>
      </c>
    </row>
    <row r="42" spans="1:7" x14ac:dyDescent="0.25">
      <c r="A42">
        <v>1969</v>
      </c>
      <c r="B42" t="s">
        <v>951</v>
      </c>
      <c r="C42">
        <v>48176</v>
      </c>
      <c r="D42" t="s">
        <v>18</v>
      </c>
      <c r="E42">
        <v>4</v>
      </c>
      <c r="F42" t="s">
        <v>18</v>
      </c>
      <c r="G42">
        <v>4</v>
      </c>
    </row>
    <row r="43" spans="1:7" x14ac:dyDescent="0.25">
      <c r="A43">
        <v>1957</v>
      </c>
      <c r="B43" t="s">
        <v>951</v>
      </c>
      <c r="C43">
        <v>48176</v>
      </c>
      <c r="D43" t="s">
        <v>17</v>
      </c>
      <c r="E43">
        <v>2</v>
      </c>
      <c r="F43" t="s">
        <v>17</v>
      </c>
      <c r="G43">
        <v>2</v>
      </c>
    </row>
    <row r="44" spans="1:7" x14ac:dyDescent="0.25">
      <c r="A44">
        <v>1965</v>
      </c>
      <c r="B44" t="s">
        <v>953</v>
      </c>
      <c r="C44">
        <v>48150</v>
      </c>
      <c r="D44" t="s">
        <v>16</v>
      </c>
      <c r="E44">
        <v>1</v>
      </c>
      <c r="F44" t="s">
        <v>16</v>
      </c>
      <c r="G44">
        <v>1</v>
      </c>
    </row>
    <row r="45" spans="1:7" x14ac:dyDescent="0.25">
      <c r="A45">
        <v>1969</v>
      </c>
      <c r="B45" t="s">
        <v>951</v>
      </c>
      <c r="C45">
        <v>48176</v>
      </c>
      <c r="D45" t="s">
        <v>952</v>
      </c>
      <c r="E45">
        <v>0</v>
      </c>
      <c r="F45" t="s">
        <v>18</v>
      </c>
      <c r="G45">
        <v>4</v>
      </c>
    </row>
    <row r="46" spans="1:7" x14ac:dyDescent="0.25">
      <c r="A46">
        <v>1967</v>
      </c>
      <c r="B46" t="s">
        <v>951</v>
      </c>
      <c r="C46">
        <v>48176</v>
      </c>
      <c r="D46" t="s">
        <v>18</v>
      </c>
      <c r="E46">
        <v>3</v>
      </c>
      <c r="F46" t="s">
        <v>18</v>
      </c>
      <c r="G46">
        <v>3</v>
      </c>
    </row>
    <row r="47" spans="1:7" x14ac:dyDescent="0.25">
      <c r="A47">
        <v>1973</v>
      </c>
      <c r="B47" t="s">
        <v>951</v>
      </c>
      <c r="C47">
        <v>48167</v>
      </c>
      <c r="D47" t="s">
        <v>18</v>
      </c>
      <c r="E47">
        <v>4</v>
      </c>
      <c r="F47" t="s">
        <v>18</v>
      </c>
      <c r="G47">
        <v>4</v>
      </c>
    </row>
    <row r="48" spans="1:7" x14ac:dyDescent="0.25">
      <c r="A48">
        <v>1977</v>
      </c>
      <c r="B48" t="s">
        <v>951</v>
      </c>
      <c r="C48">
        <v>48197</v>
      </c>
      <c r="D48" t="s">
        <v>18</v>
      </c>
      <c r="E48">
        <v>4</v>
      </c>
      <c r="F48" t="s">
        <v>18</v>
      </c>
      <c r="G48">
        <v>4</v>
      </c>
    </row>
    <row r="49" spans="1:7" x14ac:dyDescent="0.25">
      <c r="A49">
        <v>1969</v>
      </c>
      <c r="B49" t="s">
        <v>951</v>
      </c>
      <c r="C49">
        <v>48176</v>
      </c>
      <c r="D49" t="s">
        <v>18</v>
      </c>
      <c r="E49">
        <v>3</v>
      </c>
      <c r="F49" t="s">
        <v>18</v>
      </c>
      <c r="G49">
        <v>3</v>
      </c>
    </row>
    <row r="50" spans="1:7" x14ac:dyDescent="0.25">
      <c r="A50">
        <v>1974</v>
      </c>
      <c r="B50" t="s">
        <v>953</v>
      </c>
      <c r="C50">
        <v>48104</v>
      </c>
      <c r="D50" t="s">
        <v>18</v>
      </c>
      <c r="E50">
        <v>3</v>
      </c>
      <c r="F50" t="s">
        <v>18</v>
      </c>
      <c r="G50">
        <v>3</v>
      </c>
    </row>
    <row r="51" spans="1:7" x14ac:dyDescent="0.25">
      <c r="A51">
        <v>1964</v>
      </c>
      <c r="B51" t="s">
        <v>953</v>
      </c>
      <c r="C51">
        <v>48158</v>
      </c>
      <c r="D51" t="s">
        <v>17</v>
      </c>
      <c r="E51">
        <v>2</v>
      </c>
      <c r="F51" t="s">
        <v>17</v>
      </c>
      <c r="G51">
        <v>2</v>
      </c>
    </row>
    <row r="52" spans="1:7" x14ac:dyDescent="0.25">
      <c r="A52">
        <v>1962</v>
      </c>
      <c r="B52" t="s">
        <v>953</v>
      </c>
      <c r="C52">
        <v>48176</v>
      </c>
      <c r="D52" t="s">
        <v>18</v>
      </c>
      <c r="E52">
        <v>4</v>
      </c>
      <c r="F52" t="s">
        <v>18</v>
      </c>
      <c r="G52">
        <v>4</v>
      </c>
    </row>
    <row r="53" spans="1:7" x14ac:dyDescent="0.25">
      <c r="A53">
        <v>1979</v>
      </c>
      <c r="B53" t="s">
        <v>951</v>
      </c>
      <c r="C53">
        <v>48130</v>
      </c>
      <c r="D53" t="s">
        <v>18</v>
      </c>
      <c r="E53">
        <v>4</v>
      </c>
      <c r="F53" t="s">
        <v>18</v>
      </c>
      <c r="G53">
        <v>4</v>
      </c>
    </row>
    <row r="54" spans="1:7" x14ac:dyDescent="0.25">
      <c r="A54">
        <v>1970</v>
      </c>
      <c r="B54" t="s">
        <v>951</v>
      </c>
      <c r="C54">
        <v>48108</v>
      </c>
      <c r="D54" t="s">
        <v>18</v>
      </c>
      <c r="E54">
        <v>6</v>
      </c>
      <c r="F54" t="s">
        <v>18</v>
      </c>
      <c r="G54">
        <v>6</v>
      </c>
    </row>
    <row r="55" spans="1:7" x14ac:dyDescent="0.25">
      <c r="A55">
        <v>1973</v>
      </c>
      <c r="B55" t="s">
        <v>951</v>
      </c>
      <c r="C55">
        <v>48176</v>
      </c>
      <c r="D55" t="s">
        <v>18</v>
      </c>
      <c r="E55">
        <v>4</v>
      </c>
      <c r="F55" t="s">
        <v>18</v>
      </c>
      <c r="G55">
        <v>4</v>
      </c>
    </row>
    <row r="56" spans="1:7" x14ac:dyDescent="0.25">
      <c r="A56">
        <v>1958</v>
      </c>
      <c r="B56" t="s">
        <v>951</v>
      </c>
      <c r="C56">
        <v>48103</v>
      </c>
      <c r="D56" t="s">
        <v>18</v>
      </c>
      <c r="E56">
        <v>3</v>
      </c>
      <c r="F56" t="s">
        <v>18</v>
      </c>
      <c r="G56">
        <v>3</v>
      </c>
    </row>
    <row r="57" spans="1:7" x14ac:dyDescent="0.25">
      <c r="A57">
        <v>1974</v>
      </c>
      <c r="B57" t="s">
        <v>951</v>
      </c>
      <c r="C57">
        <v>48176</v>
      </c>
      <c r="D57" t="s">
        <v>18</v>
      </c>
      <c r="E57">
        <v>4</v>
      </c>
      <c r="F57" t="s">
        <v>18</v>
      </c>
      <c r="G57">
        <v>4</v>
      </c>
    </row>
    <row r="58" spans="1:7" x14ac:dyDescent="0.25">
      <c r="A58">
        <v>1972</v>
      </c>
      <c r="B58" t="s">
        <v>951</v>
      </c>
      <c r="C58">
        <v>49236</v>
      </c>
      <c r="D58" t="s">
        <v>18</v>
      </c>
      <c r="E58">
        <v>3</v>
      </c>
      <c r="F58" t="s">
        <v>18</v>
      </c>
      <c r="G58">
        <v>3</v>
      </c>
    </row>
    <row r="59" spans="1:7" x14ac:dyDescent="0.25">
      <c r="A59">
        <v>1977</v>
      </c>
      <c r="B59" t="s">
        <v>953</v>
      </c>
      <c r="C59">
        <v>48176</v>
      </c>
      <c r="D59" t="s">
        <v>17</v>
      </c>
      <c r="E59">
        <v>2</v>
      </c>
      <c r="F59" t="s">
        <v>17</v>
      </c>
      <c r="G59">
        <v>2</v>
      </c>
    </row>
    <row r="60" spans="1:7" x14ac:dyDescent="0.25">
      <c r="A60">
        <v>1980</v>
      </c>
      <c r="B60" t="s">
        <v>951</v>
      </c>
      <c r="C60">
        <v>48176</v>
      </c>
      <c r="D60" t="s">
        <v>952</v>
      </c>
      <c r="E60">
        <v>0</v>
      </c>
      <c r="F60" t="s">
        <v>18</v>
      </c>
      <c r="G60">
        <v>4</v>
      </c>
    </row>
    <row r="61" spans="1:7" x14ac:dyDescent="0.25">
      <c r="A61">
        <v>1971</v>
      </c>
      <c r="B61" t="s">
        <v>951</v>
      </c>
      <c r="C61">
        <v>48197</v>
      </c>
      <c r="D61" t="s">
        <v>18</v>
      </c>
      <c r="E61">
        <v>4</v>
      </c>
      <c r="F61" t="s">
        <v>18</v>
      </c>
      <c r="G61">
        <v>4</v>
      </c>
    </row>
    <row r="62" spans="1:7" x14ac:dyDescent="0.25">
      <c r="A62">
        <v>1969</v>
      </c>
      <c r="B62" t="s">
        <v>951</v>
      </c>
      <c r="C62">
        <v>49286</v>
      </c>
      <c r="D62" t="s">
        <v>18</v>
      </c>
      <c r="E62">
        <v>5</v>
      </c>
      <c r="F62" t="s">
        <v>18</v>
      </c>
      <c r="G62">
        <v>5</v>
      </c>
    </row>
    <row r="63" spans="1:7" x14ac:dyDescent="0.25">
      <c r="A63">
        <v>1972</v>
      </c>
      <c r="B63" t="s">
        <v>951</v>
      </c>
      <c r="C63">
        <v>49286</v>
      </c>
      <c r="D63" t="s">
        <v>16</v>
      </c>
      <c r="E63">
        <v>1</v>
      </c>
      <c r="F63" t="s">
        <v>16</v>
      </c>
      <c r="G63">
        <v>1</v>
      </c>
    </row>
    <row r="64" spans="1:7" x14ac:dyDescent="0.25">
      <c r="A64">
        <v>1973</v>
      </c>
      <c r="B64" t="s">
        <v>953</v>
      </c>
      <c r="C64">
        <v>48104</v>
      </c>
      <c r="D64" t="s">
        <v>18</v>
      </c>
      <c r="E64">
        <v>6</v>
      </c>
      <c r="F64" t="s">
        <v>18</v>
      </c>
      <c r="G64">
        <v>6</v>
      </c>
    </row>
    <row r="65" spans="1:7" x14ac:dyDescent="0.25">
      <c r="A65">
        <v>1971</v>
      </c>
      <c r="B65" t="s">
        <v>953</v>
      </c>
      <c r="C65">
        <v>48103</v>
      </c>
      <c r="D65" t="s">
        <v>18</v>
      </c>
      <c r="E65">
        <v>4</v>
      </c>
      <c r="F65" t="s">
        <v>18</v>
      </c>
      <c r="G65">
        <v>4</v>
      </c>
    </row>
    <row r="66" spans="1:7" x14ac:dyDescent="0.25">
      <c r="A66">
        <v>1969</v>
      </c>
      <c r="B66" t="s">
        <v>951</v>
      </c>
      <c r="C66">
        <v>48104</v>
      </c>
      <c r="D66" t="s">
        <v>18</v>
      </c>
      <c r="E66">
        <v>4</v>
      </c>
      <c r="F66" t="s">
        <v>18</v>
      </c>
      <c r="G66">
        <v>4</v>
      </c>
    </row>
    <row r="67" spans="1:7" x14ac:dyDescent="0.25">
      <c r="A67">
        <v>1971</v>
      </c>
      <c r="B67" t="s">
        <v>951</v>
      </c>
      <c r="C67">
        <v>48160</v>
      </c>
      <c r="D67" t="s">
        <v>18</v>
      </c>
      <c r="E67">
        <v>4</v>
      </c>
      <c r="F67" t="s">
        <v>18</v>
      </c>
      <c r="G67">
        <v>4</v>
      </c>
    </row>
    <row r="68" spans="1:7" x14ac:dyDescent="0.25">
      <c r="A68">
        <v>1966</v>
      </c>
      <c r="B68" t="s">
        <v>951</v>
      </c>
      <c r="C68">
        <v>48103</v>
      </c>
      <c r="D68" t="s">
        <v>18</v>
      </c>
      <c r="E68">
        <v>4</v>
      </c>
      <c r="F68" t="s">
        <v>18</v>
      </c>
      <c r="G68">
        <v>4</v>
      </c>
    </row>
    <row r="69" spans="1:7" x14ac:dyDescent="0.25">
      <c r="A69">
        <v>1977</v>
      </c>
      <c r="B69" t="s">
        <v>951</v>
      </c>
      <c r="C69">
        <v>48176</v>
      </c>
      <c r="D69" t="s">
        <v>18</v>
      </c>
      <c r="E69">
        <v>4</v>
      </c>
      <c r="F69" t="s">
        <v>18</v>
      </c>
      <c r="G69">
        <v>4</v>
      </c>
    </row>
    <row r="70" spans="1:7" x14ac:dyDescent="0.25">
      <c r="A70">
        <v>1965</v>
      </c>
      <c r="B70" t="s">
        <v>951</v>
      </c>
      <c r="C70">
        <v>49286</v>
      </c>
      <c r="D70" t="s">
        <v>17</v>
      </c>
      <c r="E70">
        <v>2</v>
      </c>
      <c r="F70" t="s">
        <v>17</v>
      </c>
      <c r="G70">
        <v>2</v>
      </c>
    </row>
    <row r="71" spans="1:7" x14ac:dyDescent="0.25">
      <c r="A71">
        <v>1962</v>
      </c>
      <c r="B71" t="s">
        <v>953</v>
      </c>
      <c r="C71">
        <v>48855</v>
      </c>
      <c r="D71" t="s">
        <v>18</v>
      </c>
      <c r="E71">
        <v>4</v>
      </c>
      <c r="F71" t="s">
        <v>18</v>
      </c>
      <c r="G71">
        <v>3</v>
      </c>
    </row>
    <row r="72" spans="1:7" x14ac:dyDescent="0.25">
      <c r="A72">
        <v>1963</v>
      </c>
      <c r="B72" t="s">
        <v>951</v>
      </c>
      <c r="C72">
        <v>49236</v>
      </c>
      <c r="D72" t="s">
        <v>18</v>
      </c>
      <c r="E72">
        <v>3</v>
      </c>
      <c r="F72" t="s">
        <v>18</v>
      </c>
      <c r="G72">
        <v>3</v>
      </c>
    </row>
    <row r="73" spans="1:7" x14ac:dyDescent="0.25">
      <c r="A73">
        <v>1973</v>
      </c>
      <c r="B73" t="s">
        <v>953</v>
      </c>
      <c r="C73">
        <v>48176</v>
      </c>
      <c r="D73" t="s">
        <v>952</v>
      </c>
      <c r="E73">
        <v>0</v>
      </c>
      <c r="F73" t="s">
        <v>18</v>
      </c>
      <c r="G73">
        <v>4</v>
      </c>
    </row>
    <row r="74" spans="1:7" x14ac:dyDescent="0.25">
      <c r="A74">
        <v>1972</v>
      </c>
      <c r="B74" t="s">
        <v>953</v>
      </c>
      <c r="C74">
        <v>48130</v>
      </c>
      <c r="D74" t="s">
        <v>18</v>
      </c>
      <c r="E74">
        <v>4</v>
      </c>
      <c r="F74" t="s">
        <v>18</v>
      </c>
      <c r="G74">
        <v>4</v>
      </c>
    </row>
    <row r="75" spans="1:7" x14ac:dyDescent="0.25">
      <c r="A75">
        <v>1963</v>
      </c>
      <c r="B75" t="s">
        <v>951</v>
      </c>
      <c r="C75">
        <v>48169</v>
      </c>
      <c r="D75" t="s">
        <v>18</v>
      </c>
      <c r="E75">
        <v>4</v>
      </c>
      <c r="F75" t="s">
        <v>18</v>
      </c>
      <c r="G75">
        <v>4</v>
      </c>
    </row>
    <row r="76" spans="1:7" x14ac:dyDescent="0.25">
      <c r="A76">
        <v>1970</v>
      </c>
      <c r="B76" t="s">
        <v>951</v>
      </c>
      <c r="C76">
        <v>48176</v>
      </c>
      <c r="D76" t="s">
        <v>17</v>
      </c>
      <c r="E76">
        <v>2</v>
      </c>
      <c r="F76" t="s">
        <v>17</v>
      </c>
      <c r="G76">
        <v>2</v>
      </c>
    </row>
    <row r="77" spans="1:7" x14ac:dyDescent="0.25">
      <c r="A77">
        <v>1972</v>
      </c>
      <c r="B77" t="s">
        <v>953</v>
      </c>
      <c r="C77">
        <v>48176</v>
      </c>
      <c r="D77" t="s">
        <v>18</v>
      </c>
      <c r="E77">
        <v>3</v>
      </c>
      <c r="F77" t="s">
        <v>18</v>
      </c>
      <c r="G77">
        <v>3</v>
      </c>
    </row>
    <row r="78" spans="1:7" x14ac:dyDescent="0.25">
      <c r="A78">
        <v>1974</v>
      </c>
      <c r="B78" t="s">
        <v>953</v>
      </c>
      <c r="C78">
        <v>48104</v>
      </c>
      <c r="D78" t="s">
        <v>18</v>
      </c>
      <c r="E78">
        <v>4</v>
      </c>
      <c r="F78" t="s">
        <v>18</v>
      </c>
      <c r="G78">
        <v>4</v>
      </c>
    </row>
    <row r="79" spans="1:7" x14ac:dyDescent="0.25">
      <c r="A79">
        <v>1968</v>
      </c>
      <c r="B79" t="s">
        <v>951</v>
      </c>
      <c r="C79">
        <v>48169</v>
      </c>
      <c r="D79" t="s">
        <v>16</v>
      </c>
      <c r="E79">
        <v>1</v>
      </c>
      <c r="F79" t="s">
        <v>16</v>
      </c>
      <c r="G79">
        <v>1</v>
      </c>
    </row>
    <row r="80" spans="1:7" x14ac:dyDescent="0.25">
      <c r="A80">
        <v>1971</v>
      </c>
      <c r="B80" t="s">
        <v>951</v>
      </c>
      <c r="C80">
        <v>48103</v>
      </c>
      <c r="D80" t="s">
        <v>18</v>
      </c>
      <c r="E80">
        <v>5</v>
      </c>
      <c r="F80" t="s">
        <v>18</v>
      </c>
      <c r="G80">
        <v>5</v>
      </c>
    </row>
    <row r="81" spans="1:7" x14ac:dyDescent="0.25">
      <c r="A81">
        <v>1975</v>
      </c>
      <c r="B81" t="s">
        <v>951</v>
      </c>
      <c r="C81">
        <v>48176</v>
      </c>
      <c r="D81" t="s">
        <v>952</v>
      </c>
      <c r="E81">
        <v>0</v>
      </c>
      <c r="F81" t="s">
        <v>18</v>
      </c>
      <c r="G81">
        <v>3</v>
      </c>
    </row>
    <row r="82" spans="1:7" x14ac:dyDescent="0.25">
      <c r="A82">
        <v>1974</v>
      </c>
      <c r="B82" t="s">
        <v>951</v>
      </c>
      <c r="C82">
        <v>48176</v>
      </c>
      <c r="D82" t="s">
        <v>18</v>
      </c>
      <c r="E82">
        <v>4</v>
      </c>
      <c r="F82" t="s">
        <v>18</v>
      </c>
      <c r="G82">
        <v>4</v>
      </c>
    </row>
    <row r="83" spans="1:7" x14ac:dyDescent="0.25">
      <c r="A83">
        <v>1978</v>
      </c>
      <c r="B83" t="s">
        <v>953</v>
      </c>
      <c r="C83">
        <v>48176</v>
      </c>
      <c r="D83" t="s">
        <v>18</v>
      </c>
      <c r="E83">
        <v>5</v>
      </c>
      <c r="F83" t="s">
        <v>18</v>
      </c>
      <c r="G83">
        <v>5</v>
      </c>
    </row>
    <row r="84" spans="1:7" x14ac:dyDescent="0.25">
      <c r="A84">
        <v>1953</v>
      </c>
      <c r="B84" t="s">
        <v>953</v>
      </c>
      <c r="C84">
        <v>48176</v>
      </c>
      <c r="D84" t="s">
        <v>952</v>
      </c>
      <c r="E84">
        <v>0</v>
      </c>
      <c r="F84" t="s">
        <v>17</v>
      </c>
      <c r="G84">
        <v>2</v>
      </c>
    </row>
    <row r="85" spans="1:7" x14ac:dyDescent="0.25">
      <c r="A85">
        <v>1953</v>
      </c>
      <c r="B85" t="s">
        <v>951</v>
      </c>
      <c r="C85">
        <v>48176</v>
      </c>
      <c r="D85" t="s">
        <v>17</v>
      </c>
      <c r="E85">
        <v>2</v>
      </c>
      <c r="F85" t="s">
        <v>17</v>
      </c>
      <c r="G85">
        <v>2</v>
      </c>
    </row>
    <row r="86" spans="1:7" x14ac:dyDescent="0.25">
      <c r="A86">
        <v>1976</v>
      </c>
      <c r="B86" t="s">
        <v>951</v>
      </c>
      <c r="C86">
        <v>48176</v>
      </c>
      <c r="D86" t="s">
        <v>18</v>
      </c>
      <c r="E86">
        <v>3</v>
      </c>
      <c r="F86" t="s">
        <v>18</v>
      </c>
      <c r="G86">
        <v>3</v>
      </c>
    </row>
    <row r="87" spans="1:7" x14ac:dyDescent="0.25">
      <c r="A87">
        <v>1970</v>
      </c>
      <c r="B87" t="s">
        <v>953</v>
      </c>
      <c r="C87">
        <v>48160</v>
      </c>
      <c r="D87" t="s">
        <v>18</v>
      </c>
      <c r="E87">
        <v>4</v>
      </c>
      <c r="F87" t="s">
        <v>18</v>
      </c>
      <c r="G87">
        <v>4</v>
      </c>
    </row>
    <row r="88" spans="1:7" x14ac:dyDescent="0.25">
      <c r="A88">
        <v>1975</v>
      </c>
      <c r="B88" t="s">
        <v>951</v>
      </c>
      <c r="C88">
        <v>48176</v>
      </c>
      <c r="D88" t="s">
        <v>18</v>
      </c>
      <c r="E88">
        <v>4</v>
      </c>
      <c r="F88" t="s">
        <v>18</v>
      </c>
      <c r="G88">
        <v>4</v>
      </c>
    </row>
    <row r="89" spans="1:7" x14ac:dyDescent="0.25">
      <c r="A89">
        <v>1967</v>
      </c>
      <c r="B89" t="s">
        <v>951</v>
      </c>
      <c r="C89">
        <v>48160</v>
      </c>
      <c r="D89" t="s">
        <v>18</v>
      </c>
      <c r="E89">
        <v>5</v>
      </c>
      <c r="F89" t="s">
        <v>18</v>
      </c>
      <c r="G89">
        <v>5</v>
      </c>
    </row>
    <row r="90" spans="1:7" x14ac:dyDescent="0.25">
      <c r="A90">
        <v>1965</v>
      </c>
      <c r="B90" t="s">
        <v>953</v>
      </c>
      <c r="C90">
        <v>48103</v>
      </c>
      <c r="D90" t="s">
        <v>18</v>
      </c>
      <c r="E90">
        <v>4</v>
      </c>
      <c r="F90" t="s">
        <v>18</v>
      </c>
      <c r="G90">
        <v>4</v>
      </c>
    </row>
    <row r="91" spans="1:7" x14ac:dyDescent="0.25">
      <c r="A91">
        <v>1963</v>
      </c>
      <c r="B91" t="s">
        <v>951</v>
      </c>
      <c r="C91">
        <v>48176</v>
      </c>
      <c r="D91" t="s">
        <v>18</v>
      </c>
      <c r="E91">
        <v>5</v>
      </c>
      <c r="F91" t="s">
        <v>18</v>
      </c>
      <c r="G91">
        <v>5</v>
      </c>
    </row>
    <row r="92" spans="1:7" x14ac:dyDescent="0.25">
      <c r="A92">
        <v>1967</v>
      </c>
      <c r="B92" t="s">
        <v>951</v>
      </c>
      <c r="C92">
        <v>48197</v>
      </c>
      <c r="D92" t="s">
        <v>18</v>
      </c>
      <c r="E92">
        <v>3</v>
      </c>
      <c r="F92" t="s">
        <v>18</v>
      </c>
      <c r="G92">
        <v>3</v>
      </c>
    </row>
    <row r="93" spans="1:7" x14ac:dyDescent="0.25">
      <c r="A93">
        <v>1974</v>
      </c>
      <c r="B93" t="s">
        <v>951</v>
      </c>
      <c r="C93">
        <v>48176</v>
      </c>
      <c r="D93" t="s">
        <v>18</v>
      </c>
      <c r="E93">
        <v>3</v>
      </c>
      <c r="F93" t="s">
        <v>18</v>
      </c>
      <c r="G93">
        <v>3</v>
      </c>
    </row>
    <row r="94" spans="1:7" x14ac:dyDescent="0.25">
      <c r="A94">
        <v>1967</v>
      </c>
      <c r="B94" t="s">
        <v>951</v>
      </c>
      <c r="C94">
        <v>48108</v>
      </c>
      <c r="D94" t="s">
        <v>18</v>
      </c>
      <c r="E94">
        <v>5</v>
      </c>
      <c r="F94" t="s">
        <v>18</v>
      </c>
      <c r="G94">
        <v>5</v>
      </c>
    </row>
    <row r="95" spans="1:7" x14ac:dyDescent="0.25">
      <c r="A95">
        <v>1967</v>
      </c>
      <c r="B95" t="s">
        <v>951</v>
      </c>
      <c r="C95">
        <v>48158</v>
      </c>
      <c r="D95" t="s">
        <v>18</v>
      </c>
      <c r="E95">
        <v>3</v>
      </c>
      <c r="F95" t="s">
        <v>18</v>
      </c>
      <c r="G95">
        <v>3</v>
      </c>
    </row>
    <row r="96" spans="1:7" x14ac:dyDescent="0.25">
      <c r="A96">
        <v>1972</v>
      </c>
      <c r="B96" t="s">
        <v>951</v>
      </c>
      <c r="C96">
        <v>48176</v>
      </c>
      <c r="D96" t="s">
        <v>18</v>
      </c>
      <c r="E96">
        <v>5</v>
      </c>
      <c r="F96" t="s">
        <v>18</v>
      </c>
      <c r="G96">
        <v>5</v>
      </c>
    </row>
    <row r="97" spans="1:7" x14ac:dyDescent="0.25">
      <c r="A97">
        <v>1968</v>
      </c>
      <c r="B97" t="s">
        <v>953</v>
      </c>
      <c r="C97">
        <v>48103</v>
      </c>
      <c r="D97" t="s">
        <v>18</v>
      </c>
      <c r="E97">
        <v>3</v>
      </c>
      <c r="F97" t="s">
        <v>18</v>
      </c>
      <c r="G97">
        <v>3</v>
      </c>
    </row>
    <row r="98" spans="1:7" x14ac:dyDescent="0.25">
      <c r="A98">
        <v>1966</v>
      </c>
      <c r="B98" t="s">
        <v>953</v>
      </c>
      <c r="C98">
        <v>48176</v>
      </c>
      <c r="D98" t="s">
        <v>18</v>
      </c>
      <c r="E98">
        <v>5</v>
      </c>
      <c r="F98" t="s">
        <v>18</v>
      </c>
      <c r="G98">
        <v>5</v>
      </c>
    </row>
    <row r="99" spans="1:7" x14ac:dyDescent="0.25">
      <c r="A99">
        <v>1965</v>
      </c>
      <c r="B99" t="s">
        <v>951</v>
      </c>
      <c r="C99">
        <v>48176</v>
      </c>
      <c r="D99" t="s">
        <v>18</v>
      </c>
      <c r="E99">
        <v>4</v>
      </c>
      <c r="F99" t="s">
        <v>18</v>
      </c>
      <c r="G99">
        <v>4</v>
      </c>
    </row>
    <row r="100" spans="1:7" x14ac:dyDescent="0.25">
      <c r="A100">
        <v>1973</v>
      </c>
      <c r="B100" t="s">
        <v>951</v>
      </c>
      <c r="C100">
        <v>48176</v>
      </c>
      <c r="D100" t="s">
        <v>18</v>
      </c>
      <c r="E100">
        <v>3</v>
      </c>
      <c r="F100" t="s">
        <v>18</v>
      </c>
      <c r="G100">
        <v>3</v>
      </c>
    </row>
    <row r="101" spans="1:7" x14ac:dyDescent="0.25">
      <c r="A101">
        <v>1969</v>
      </c>
      <c r="B101" t="s">
        <v>951</v>
      </c>
      <c r="C101">
        <v>48108</v>
      </c>
      <c r="D101" t="s">
        <v>18</v>
      </c>
      <c r="E101">
        <v>4</v>
      </c>
      <c r="F101" t="s">
        <v>18</v>
      </c>
      <c r="G101">
        <v>4</v>
      </c>
    </row>
    <row r="102" spans="1:7" x14ac:dyDescent="0.25">
      <c r="A102">
        <v>1953</v>
      </c>
      <c r="B102" t="s">
        <v>951</v>
      </c>
      <c r="C102">
        <v>48167</v>
      </c>
      <c r="D102" t="s">
        <v>17</v>
      </c>
      <c r="E102">
        <v>2</v>
      </c>
      <c r="F102" t="s">
        <v>17</v>
      </c>
      <c r="G102">
        <v>2</v>
      </c>
    </row>
    <row r="103" spans="1:7" x14ac:dyDescent="0.25">
      <c r="A103">
        <v>1967</v>
      </c>
      <c r="B103" t="s">
        <v>951</v>
      </c>
      <c r="C103">
        <v>48176</v>
      </c>
      <c r="D103" t="s">
        <v>18</v>
      </c>
      <c r="E103">
        <v>4</v>
      </c>
      <c r="F103" t="s">
        <v>18</v>
      </c>
      <c r="G103">
        <v>4</v>
      </c>
    </row>
    <row r="104" spans="1:7" x14ac:dyDescent="0.25">
      <c r="A104">
        <v>1961</v>
      </c>
      <c r="B104" t="s">
        <v>951</v>
      </c>
      <c r="C104">
        <v>48197</v>
      </c>
      <c r="D104" t="s">
        <v>18</v>
      </c>
      <c r="E104">
        <v>3</v>
      </c>
      <c r="F104" t="s">
        <v>18</v>
      </c>
      <c r="G104">
        <v>3</v>
      </c>
    </row>
    <row r="105" spans="1:7" x14ac:dyDescent="0.25">
      <c r="A105">
        <v>1968</v>
      </c>
      <c r="B105" t="s">
        <v>951</v>
      </c>
      <c r="C105">
        <v>48130</v>
      </c>
      <c r="D105" t="s">
        <v>18</v>
      </c>
      <c r="E105">
        <v>4</v>
      </c>
      <c r="F105" t="s">
        <v>18</v>
      </c>
      <c r="G105">
        <v>4</v>
      </c>
    </row>
    <row r="106" spans="1:7" x14ac:dyDescent="0.25">
      <c r="A106">
        <v>1965</v>
      </c>
      <c r="B106" t="s">
        <v>951</v>
      </c>
      <c r="C106">
        <v>48176</v>
      </c>
      <c r="D106" t="s">
        <v>17</v>
      </c>
      <c r="E106">
        <v>2</v>
      </c>
      <c r="F106" t="s">
        <v>17</v>
      </c>
      <c r="G106">
        <v>2</v>
      </c>
    </row>
    <row r="107" spans="1:7" x14ac:dyDescent="0.25">
      <c r="A107">
        <v>1977</v>
      </c>
      <c r="B107" t="s">
        <v>951</v>
      </c>
      <c r="C107">
        <v>49236</v>
      </c>
      <c r="D107" t="s">
        <v>18</v>
      </c>
      <c r="E107">
        <v>4</v>
      </c>
      <c r="F107" t="s">
        <v>18</v>
      </c>
      <c r="G107">
        <v>4</v>
      </c>
    </row>
    <row r="108" spans="1:7" x14ac:dyDescent="0.25">
      <c r="A108">
        <v>1970</v>
      </c>
      <c r="B108" t="s">
        <v>951</v>
      </c>
      <c r="C108">
        <v>48197</v>
      </c>
      <c r="D108" t="s">
        <v>17</v>
      </c>
      <c r="E108">
        <v>2</v>
      </c>
      <c r="F108" t="s">
        <v>17</v>
      </c>
      <c r="G108">
        <v>2</v>
      </c>
    </row>
    <row r="109" spans="1:7" x14ac:dyDescent="0.25">
      <c r="A109">
        <v>1960</v>
      </c>
      <c r="B109" t="s">
        <v>951</v>
      </c>
      <c r="C109">
        <v>48176</v>
      </c>
      <c r="D109" t="s">
        <v>18</v>
      </c>
      <c r="E109">
        <v>3</v>
      </c>
      <c r="F109" t="s">
        <v>18</v>
      </c>
      <c r="G109">
        <v>3</v>
      </c>
    </row>
    <row r="110" spans="1:7" x14ac:dyDescent="0.25">
      <c r="A110">
        <v>1976</v>
      </c>
      <c r="B110" t="s">
        <v>951</v>
      </c>
      <c r="C110">
        <v>48187</v>
      </c>
      <c r="D110" t="s">
        <v>18</v>
      </c>
      <c r="E110">
        <v>4</v>
      </c>
      <c r="F110" t="s">
        <v>18</v>
      </c>
      <c r="G110">
        <v>4</v>
      </c>
    </row>
    <row r="111" spans="1:7" x14ac:dyDescent="0.25">
      <c r="A111">
        <v>1974</v>
      </c>
      <c r="B111" t="s">
        <v>951</v>
      </c>
      <c r="C111">
        <v>48130</v>
      </c>
      <c r="D111" t="s">
        <v>18</v>
      </c>
      <c r="E111">
        <v>4</v>
      </c>
      <c r="F111" t="s">
        <v>18</v>
      </c>
      <c r="G111">
        <v>4</v>
      </c>
    </row>
    <row r="112" spans="1:7" x14ac:dyDescent="0.25">
      <c r="A112">
        <v>1979</v>
      </c>
      <c r="B112" t="s">
        <v>951</v>
      </c>
      <c r="C112">
        <v>48103</v>
      </c>
      <c r="D112" t="s">
        <v>18</v>
      </c>
      <c r="E112">
        <v>5</v>
      </c>
      <c r="F112" t="s">
        <v>18</v>
      </c>
      <c r="G112">
        <v>5</v>
      </c>
    </row>
    <row r="113" spans="1:7" x14ac:dyDescent="0.25">
      <c r="A113">
        <v>1962</v>
      </c>
      <c r="B113" t="s">
        <v>953</v>
      </c>
      <c r="C113">
        <v>48176</v>
      </c>
      <c r="D113" t="s">
        <v>18</v>
      </c>
      <c r="E113">
        <v>3</v>
      </c>
      <c r="F113" t="s">
        <v>18</v>
      </c>
      <c r="G113">
        <v>3</v>
      </c>
    </row>
    <row r="114" spans="1:7" x14ac:dyDescent="0.25">
      <c r="A114">
        <v>1959</v>
      </c>
      <c r="B114" t="s">
        <v>951</v>
      </c>
      <c r="C114">
        <v>48176</v>
      </c>
      <c r="D114" t="s">
        <v>18</v>
      </c>
      <c r="E114">
        <v>3</v>
      </c>
      <c r="F114" t="s">
        <v>18</v>
      </c>
      <c r="G114">
        <v>3</v>
      </c>
    </row>
    <row r="115" spans="1:7" x14ac:dyDescent="0.25">
      <c r="A115">
        <v>1977</v>
      </c>
      <c r="B115" t="s">
        <v>951</v>
      </c>
      <c r="C115">
        <v>48160</v>
      </c>
      <c r="D115" t="s">
        <v>18</v>
      </c>
      <c r="E115">
        <v>4</v>
      </c>
      <c r="F115" t="s">
        <v>18</v>
      </c>
      <c r="G115">
        <v>4</v>
      </c>
    </row>
    <row r="116" spans="1:7" x14ac:dyDescent="0.25">
      <c r="A116">
        <v>1966</v>
      </c>
      <c r="B116" t="s">
        <v>951</v>
      </c>
      <c r="C116">
        <v>48108</v>
      </c>
      <c r="D116" t="s">
        <v>18</v>
      </c>
      <c r="E116">
        <v>4</v>
      </c>
      <c r="F116" t="s">
        <v>18</v>
      </c>
      <c r="G116">
        <v>4</v>
      </c>
    </row>
    <row r="117" spans="1:7" x14ac:dyDescent="0.25">
      <c r="A117">
        <v>1971</v>
      </c>
      <c r="B117" t="s">
        <v>953</v>
      </c>
      <c r="C117">
        <v>48130</v>
      </c>
      <c r="D117" t="s">
        <v>18</v>
      </c>
      <c r="E117">
        <v>4</v>
      </c>
      <c r="F117" t="s">
        <v>18</v>
      </c>
      <c r="G117">
        <v>4</v>
      </c>
    </row>
    <row r="118" spans="1:7" x14ac:dyDescent="0.25">
      <c r="A118">
        <v>1968</v>
      </c>
      <c r="B118" t="s">
        <v>951</v>
      </c>
      <c r="C118">
        <v>48178</v>
      </c>
      <c r="D118" t="s">
        <v>18</v>
      </c>
      <c r="E118">
        <v>4</v>
      </c>
      <c r="F118" t="s">
        <v>18</v>
      </c>
      <c r="G118">
        <v>4</v>
      </c>
    </row>
    <row r="119" spans="1:7" x14ac:dyDescent="0.25">
      <c r="A119">
        <v>1970</v>
      </c>
      <c r="B119" t="s">
        <v>951</v>
      </c>
      <c r="C119">
        <v>48176</v>
      </c>
      <c r="D119" t="s">
        <v>952</v>
      </c>
      <c r="E119">
        <v>0</v>
      </c>
      <c r="F119" t="s">
        <v>18</v>
      </c>
      <c r="G119">
        <v>4</v>
      </c>
    </row>
    <row r="120" spans="1:7" x14ac:dyDescent="0.25">
      <c r="A120">
        <v>1963</v>
      </c>
      <c r="B120" t="s">
        <v>951</v>
      </c>
      <c r="C120">
        <v>48103</v>
      </c>
      <c r="D120" t="s">
        <v>18</v>
      </c>
      <c r="E120">
        <v>5</v>
      </c>
      <c r="F120" t="s">
        <v>18</v>
      </c>
      <c r="G120">
        <v>5</v>
      </c>
    </row>
    <row r="121" spans="1:7" x14ac:dyDescent="0.25">
      <c r="A121">
        <v>1969</v>
      </c>
      <c r="B121" t="s">
        <v>953</v>
      </c>
      <c r="C121">
        <v>49286</v>
      </c>
      <c r="D121" t="s">
        <v>18</v>
      </c>
      <c r="E121">
        <v>3</v>
      </c>
      <c r="F121" t="s">
        <v>18</v>
      </c>
      <c r="G121">
        <v>3</v>
      </c>
    </row>
    <row r="122" spans="1:7" x14ac:dyDescent="0.25">
      <c r="A122">
        <v>1970</v>
      </c>
      <c r="B122" t="s">
        <v>951</v>
      </c>
      <c r="C122">
        <v>48176</v>
      </c>
      <c r="D122" t="s">
        <v>952</v>
      </c>
      <c r="E122">
        <v>0</v>
      </c>
      <c r="F122" t="s">
        <v>18</v>
      </c>
      <c r="G122">
        <v>5</v>
      </c>
    </row>
    <row r="123" spans="1:7" x14ac:dyDescent="0.25">
      <c r="A123">
        <v>1969</v>
      </c>
      <c r="B123" t="s">
        <v>953</v>
      </c>
      <c r="C123">
        <v>48176</v>
      </c>
      <c r="D123" t="s">
        <v>18</v>
      </c>
      <c r="E123">
        <v>5</v>
      </c>
      <c r="F123" t="s">
        <v>18</v>
      </c>
      <c r="G123">
        <v>5</v>
      </c>
    </row>
    <row r="124" spans="1:7" x14ac:dyDescent="0.25">
      <c r="A124">
        <v>1971</v>
      </c>
      <c r="B124" t="s">
        <v>951</v>
      </c>
      <c r="C124">
        <v>48158</v>
      </c>
      <c r="D124" t="s">
        <v>952</v>
      </c>
      <c r="E124">
        <v>0</v>
      </c>
      <c r="F124" t="s">
        <v>17</v>
      </c>
      <c r="G124">
        <v>2</v>
      </c>
    </row>
    <row r="125" spans="1:7" x14ac:dyDescent="0.25">
      <c r="A125">
        <v>1971</v>
      </c>
      <c r="B125" t="s">
        <v>951</v>
      </c>
      <c r="C125">
        <v>48176</v>
      </c>
      <c r="D125" t="s">
        <v>18</v>
      </c>
      <c r="E125">
        <v>3</v>
      </c>
      <c r="F125" t="s">
        <v>18</v>
      </c>
      <c r="G125">
        <v>3</v>
      </c>
    </row>
    <row r="126" spans="1:7" x14ac:dyDescent="0.25">
      <c r="A126">
        <v>1978</v>
      </c>
      <c r="B126" t="s">
        <v>953</v>
      </c>
      <c r="C126">
        <v>48176</v>
      </c>
      <c r="D126" t="s">
        <v>16</v>
      </c>
      <c r="E126">
        <v>1</v>
      </c>
      <c r="F126" t="s">
        <v>16</v>
      </c>
      <c r="G126">
        <v>1</v>
      </c>
    </row>
    <row r="127" spans="1:7" x14ac:dyDescent="0.25">
      <c r="A127">
        <v>1956</v>
      </c>
      <c r="B127" t="s">
        <v>951</v>
      </c>
      <c r="C127">
        <v>48103</v>
      </c>
      <c r="D127" t="s">
        <v>16</v>
      </c>
      <c r="E127">
        <v>1</v>
      </c>
      <c r="F127" t="s">
        <v>16</v>
      </c>
      <c r="G127">
        <v>1</v>
      </c>
    </row>
    <row r="128" spans="1:7" x14ac:dyDescent="0.25">
      <c r="A128">
        <v>1962</v>
      </c>
      <c r="B128" t="s">
        <v>951</v>
      </c>
      <c r="C128">
        <v>48137</v>
      </c>
      <c r="D128" t="s">
        <v>18</v>
      </c>
      <c r="E128">
        <v>3</v>
      </c>
      <c r="F128" t="s">
        <v>18</v>
      </c>
      <c r="G128">
        <v>3</v>
      </c>
    </row>
    <row r="129" spans="1:7" x14ac:dyDescent="0.25">
      <c r="A129">
        <v>1960</v>
      </c>
      <c r="B129" t="s">
        <v>951</v>
      </c>
      <c r="C129">
        <v>48130</v>
      </c>
      <c r="D129" t="s">
        <v>18</v>
      </c>
      <c r="E129">
        <v>3</v>
      </c>
      <c r="F129" t="s">
        <v>18</v>
      </c>
      <c r="G129">
        <v>3</v>
      </c>
    </row>
    <row r="130" spans="1:7" x14ac:dyDescent="0.25">
      <c r="A130">
        <v>1966</v>
      </c>
      <c r="B130" t="s">
        <v>951</v>
      </c>
      <c r="C130">
        <v>48108</v>
      </c>
      <c r="D130" t="s">
        <v>18</v>
      </c>
      <c r="E130">
        <v>5</v>
      </c>
      <c r="F130" t="s">
        <v>18</v>
      </c>
      <c r="G130">
        <v>5</v>
      </c>
    </row>
    <row r="131" spans="1:7" x14ac:dyDescent="0.25">
      <c r="A131">
        <v>1971</v>
      </c>
      <c r="B131" t="s">
        <v>951</v>
      </c>
      <c r="C131">
        <v>48108</v>
      </c>
      <c r="D131" t="s">
        <v>18</v>
      </c>
      <c r="E131">
        <v>4</v>
      </c>
      <c r="F131" t="s">
        <v>18</v>
      </c>
      <c r="G131">
        <v>4</v>
      </c>
    </row>
    <row r="132" spans="1:7" x14ac:dyDescent="0.25">
      <c r="A132">
        <v>1973</v>
      </c>
      <c r="B132" t="s">
        <v>951</v>
      </c>
      <c r="C132">
        <v>48176</v>
      </c>
      <c r="D132" t="s">
        <v>17</v>
      </c>
      <c r="E132">
        <v>2</v>
      </c>
      <c r="F132" t="s">
        <v>17</v>
      </c>
      <c r="G132">
        <v>2</v>
      </c>
    </row>
    <row r="133" spans="1:7" x14ac:dyDescent="0.25">
      <c r="A133">
        <v>1967</v>
      </c>
      <c r="B133" t="s">
        <v>951</v>
      </c>
      <c r="C133">
        <v>49253</v>
      </c>
      <c r="D133" t="s">
        <v>17</v>
      </c>
      <c r="E133">
        <v>2</v>
      </c>
      <c r="F133" t="s">
        <v>17</v>
      </c>
      <c r="G133">
        <v>2</v>
      </c>
    </row>
    <row r="134" spans="1:7" x14ac:dyDescent="0.25">
      <c r="A134">
        <v>1962</v>
      </c>
      <c r="B134" t="s">
        <v>953</v>
      </c>
      <c r="C134">
        <v>48192</v>
      </c>
      <c r="D134" t="s">
        <v>16</v>
      </c>
      <c r="E134">
        <v>1</v>
      </c>
      <c r="F134" t="s">
        <v>16</v>
      </c>
      <c r="G134">
        <v>1</v>
      </c>
    </row>
    <row r="135" spans="1:7" x14ac:dyDescent="0.25">
      <c r="A135">
        <v>1960</v>
      </c>
      <c r="B135" t="s">
        <v>951</v>
      </c>
      <c r="C135">
        <v>48111</v>
      </c>
      <c r="D135" t="s">
        <v>17</v>
      </c>
      <c r="E135">
        <v>2</v>
      </c>
      <c r="F135" t="s">
        <v>17</v>
      </c>
      <c r="G135">
        <v>2</v>
      </c>
    </row>
    <row r="136" spans="1:7" x14ac:dyDescent="0.25">
      <c r="A136">
        <v>1972</v>
      </c>
      <c r="B136" t="s">
        <v>953</v>
      </c>
      <c r="C136">
        <v>48176</v>
      </c>
      <c r="D136" t="s">
        <v>18</v>
      </c>
      <c r="E136">
        <v>6</v>
      </c>
      <c r="F136" t="s">
        <v>18</v>
      </c>
      <c r="G136">
        <v>6</v>
      </c>
    </row>
    <row r="137" spans="1:7" x14ac:dyDescent="0.25">
      <c r="A137">
        <v>1961</v>
      </c>
      <c r="B137" t="s">
        <v>951</v>
      </c>
      <c r="C137">
        <v>49287</v>
      </c>
      <c r="D137" t="s">
        <v>18</v>
      </c>
      <c r="E137">
        <v>3</v>
      </c>
      <c r="F137" t="s">
        <v>18</v>
      </c>
      <c r="G137">
        <v>3</v>
      </c>
    </row>
    <row r="138" spans="1:7" x14ac:dyDescent="0.25">
      <c r="A138">
        <v>1975</v>
      </c>
      <c r="B138" t="s">
        <v>953</v>
      </c>
      <c r="C138">
        <v>48197</v>
      </c>
      <c r="D138" t="s">
        <v>18</v>
      </c>
      <c r="E138">
        <v>4</v>
      </c>
      <c r="F138" t="s">
        <v>18</v>
      </c>
      <c r="G138">
        <v>4</v>
      </c>
    </row>
    <row r="139" spans="1:7" x14ac:dyDescent="0.25">
      <c r="A139">
        <v>1968</v>
      </c>
      <c r="B139" t="s">
        <v>951</v>
      </c>
      <c r="C139">
        <v>48103</v>
      </c>
      <c r="D139" t="s">
        <v>18</v>
      </c>
      <c r="E139">
        <v>4</v>
      </c>
      <c r="F139" t="s">
        <v>18</v>
      </c>
      <c r="G139">
        <v>4</v>
      </c>
    </row>
    <row r="140" spans="1:7" x14ac:dyDescent="0.25">
      <c r="A140">
        <v>1978</v>
      </c>
      <c r="B140" t="s">
        <v>951</v>
      </c>
      <c r="C140">
        <v>48176</v>
      </c>
      <c r="D140" t="s">
        <v>18</v>
      </c>
      <c r="E140">
        <v>5</v>
      </c>
      <c r="F140" t="s">
        <v>18</v>
      </c>
      <c r="G140">
        <v>5</v>
      </c>
    </row>
    <row r="141" spans="1:7" x14ac:dyDescent="0.25">
      <c r="A141">
        <v>1972</v>
      </c>
      <c r="B141" t="s">
        <v>953</v>
      </c>
      <c r="C141">
        <v>48103</v>
      </c>
      <c r="D141" t="s">
        <v>18</v>
      </c>
      <c r="E141">
        <v>6</v>
      </c>
      <c r="F141" t="s">
        <v>18</v>
      </c>
      <c r="G141">
        <v>6</v>
      </c>
    </row>
    <row r="142" spans="1:7" x14ac:dyDescent="0.25">
      <c r="A142">
        <v>1959</v>
      </c>
      <c r="B142" t="s">
        <v>951</v>
      </c>
      <c r="C142">
        <v>48176</v>
      </c>
      <c r="D142" t="s">
        <v>18</v>
      </c>
      <c r="E142">
        <v>3</v>
      </c>
      <c r="F142" t="s">
        <v>18</v>
      </c>
      <c r="G142">
        <v>3</v>
      </c>
    </row>
    <row r="143" spans="1:7" x14ac:dyDescent="0.25">
      <c r="A143">
        <v>1972</v>
      </c>
      <c r="B143" t="s">
        <v>953</v>
      </c>
      <c r="C143">
        <v>48176</v>
      </c>
      <c r="D143" t="s">
        <v>18</v>
      </c>
      <c r="E143">
        <v>4</v>
      </c>
      <c r="F143" t="s">
        <v>18</v>
      </c>
      <c r="G143">
        <v>4</v>
      </c>
    </row>
    <row r="144" spans="1:7" x14ac:dyDescent="0.25">
      <c r="A144">
        <v>1962</v>
      </c>
      <c r="B144" t="s">
        <v>953</v>
      </c>
      <c r="C144">
        <v>48176</v>
      </c>
      <c r="D144" t="s">
        <v>18</v>
      </c>
      <c r="E144">
        <v>4</v>
      </c>
      <c r="F144" t="s">
        <v>18</v>
      </c>
      <c r="G144">
        <v>4</v>
      </c>
    </row>
    <row r="145" spans="1:7" x14ac:dyDescent="0.25">
      <c r="A145">
        <v>1971</v>
      </c>
      <c r="B145" t="s">
        <v>951</v>
      </c>
      <c r="C145">
        <v>48176</v>
      </c>
      <c r="D145" t="s">
        <v>18</v>
      </c>
      <c r="E145">
        <v>5</v>
      </c>
      <c r="F145" t="s">
        <v>18</v>
      </c>
      <c r="G145">
        <v>5</v>
      </c>
    </row>
    <row r="146" spans="1:7" x14ac:dyDescent="0.25">
      <c r="A146">
        <v>1963</v>
      </c>
      <c r="B146" t="s">
        <v>953</v>
      </c>
      <c r="C146">
        <v>48176</v>
      </c>
      <c r="D146" t="s">
        <v>18</v>
      </c>
      <c r="E146">
        <v>4</v>
      </c>
      <c r="F146" t="s">
        <v>18</v>
      </c>
      <c r="G146">
        <v>3</v>
      </c>
    </row>
    <row r="147" spans="1:7" x14ac:dyDescent="0.25">
      <c r="A147">
        <v>1970</v>
      </c>
      <c r="B147" t="s">
        <v>951</v>
      </c>
      <c r="C147">
        <v>48176</v>
      </c>
      <c r="D147" t="s">
        <v>952</v>
      </c>
      <c r="E147">
        <v>0</v>
      </c>
      <c r="F147" t="s">
        <v>18</v>
      </c>
      <c r="G147">
        <v>5</v>
      </c>
    </row>
    <row r="148" spans="1:7" x14ac:dyDescent="0.25">
      <c r="A148">
        <v>1975</v>
      </c>
      <c r="B148" t="s">
        <v>953</v>
      </c>
      <c r="C148">
        <v>48170</v>
      </c>
      <c r="D148" t="s">
        <v>18</v>
      </c>
      <c r="E148">
        <v>5</v>
      </c>
      <c r="F148" t="s">
        <v>18</v>
      </c>
      <c r="G148">
        <v>5</v>
      </c>
    </row>
    <row r="149" spans="1:7" x14ac:dyDescent="0.25">
      <c r="A149">
        <v>1978</v>
      </c>
      <c r="B149" t="s">
        <v>951</v>
      </c>
      <c r="C149">
        <v>48197</v>
      </c>
      <c r="D149" t="s">
        <v>17</v>
      </c>
      <c r="E149">
        <v>2</v>
      </c>
      <c r="F149" t="s">
        <v>17</v>
      </c>
      <c r="G149">
        <v>2</v>
      </c>
    </row>
    <row r="150" spans="1:7" x14ac:dyDescent="0.25">
      <c r="A150">
        <v>1961</v>
      </c>
      <c r="B150" t="s">
        <v>951</v>
      </c>
      <c r="C150">
        <v>48160</v>
      </c>
      <c r="D150" t="s">
        <v>17</v>
      </c>
      <c r="E150">
        <v>2</v>
      </c>
      <c r="F150" t="s">
        <v>17</v>
      </c>
      <c r="G150">
        <v>2</v>
      </c>
    </row>
    <row r="151" spans="1:7" x14ac:dyDescent="0.25">
      <c r="A151">
        <v>1967</v>
      </c>
      <c r="B151" t="s">
        <v>951</v>
      </c>
      <c r="C151">
        <v>48176</v>
      </c>
      <c r="D151" t="s">
        <v>18</v>
      </c>
      <c r="E151">
        <v>5</v>
      </c>
      <c r="F151" t="s">
        <v>18</v>
      </c>
      <c r="G151">
        <v>5</v>
      </c>
    </row>
    <row r="152" spans="1:7" x14ac:dyDescent="0.25">
      <c r="A152">
        <v>1970</v>
      </c>
      <c r="B152" t="s">
        <v>951</v>
      </c>
      <c r="C152">
        <v>48176</v>
      </c>
      <c r="D152" t="s">
        <v>18</v>
      </c>
      <c r="E152">
        <v>4</v>
      </c>
      <c r="F152" t="s">
        <v>18</v>
      </c>
      <c r="G152">
        <v>4</v>
      </c>
    </row>
    <row r="153" spans="1:7" x14ac:dyDescent="0.25">
      <c r="A153">
        <v>1977</v>
      </c>
      <c r="B153" t="s">
        <v>953</v>
      </c>
      <c r="C153">
        <v>48176</v>
      </c>
      <c r="D153" t="s">
        <v>18</v>
      </c>
      <c r="E153">
        <v>3</v>
      </c>
      <c r="F153" t="s">
        <v>18</v>
      </c>
      <c r="G153">
        <v>3</v>
      </c>
    </row>
    <row r="154" spans="1:7" x14ac:dyDescent="0.25">
      <c r="A154">
        <v>1974</v>
      </c>
      <c r="B154" t="s">
        <v>953</v>
      </c>
      <c r="C154">
        <v>48105</v>
      </c>
      <c r="D154" t="s">
        <v>18</v>
      </c>
      <c r="E154">
        <v>3</v>
      </c>
      <c r="F154" t="s">
        <v>18</v>
      </c>
      <c r="G154">
        <v>3</v>
      </c>
    </row>
    <row r="155" spans="1:7" x14ac:dyDescent="0.25">
      <c r="A155">
        <v>1969</v>
      </c>
      <c r="B155" t="s">
        <v>953</v>
      </c>
      <c r="C155">
        <v>48103</v>
      </c>
      <c r="D155" t="s">
        <v>18</v>
      </c>
      <c r="E155">
        <v>5</v>
      </c>
      <c r="F155" t="s">
        <v>18</v>
      </c>
      <c r="G155">
        <v>5</v>
      </c>
    </row>
    <row r="156" spans="1:7" x14ac:dyDescent="0.25">
      <c r="A156">
        <v>1972</v>
      </c>
      <c r="B156" t="s">
        <v>953</v>
      </c>
      <c r="C156">
        <v>48176</v>
      </c>
      <c r="D156" t="s">
        <v>18</v>
      </c>
      <c r="E156">
        <v>4</v>
      </c>
      <c r="F156" t="s">
        <v>18</v>
      </c>
      <c r="G156">
        <v>4</v>
      </c>
    </row>
    <row r="157" spans="1:7" x14ac:dyDescent="0.25">
      <c r="A157">
        <v>1967</v>
      </c>
      <c r="B157" t="s">
        <v>951</v>
      </c>
      <c r="C157">
        <v>48176</v>
      </c>
      <c r="D157" t="s">
        <v>18</v>
      </c>
      <c r="E157">
        <v>4</v>
      </c>
      <c r="F157" t="s">
        <v>18</v>
      </c>
      <c r="G157">
        <v>4</v>
      </c>
    </row>
    <row r="158" spans="1:7" x14ac:dyDescent="0.25">
      <c r="A158">
        <v>1974</v>
      </c>
      <c r="B158" t="s">
        <v>953</v>
      </c>
      <c r="C158">
        <v>48176</v>
      </c>
      <c r="D158" t="s">
        <v>18</v>
      </c>
      <c r="E158">
        <v>4</v>
      </c>
      <c r="F158" t="s">
        <v>18</v>
      </c>
      <c r="G158">
        <v>4</v>
      </c>
    </row>
    <row r="159" spans="1:7" x14ac:dyDescent="0.25">
      <c r="A159">
        <v>1965</v>
      </c>
      <c r="B159" t="s">
        <v>953</v>
      </c>
      <c r="C159">
        <v>48176</v>
      </c>
      <c r="D159" t="s">
        <v>952</v>
      </c>
      <c r="E159">
        <v>0</v>
      </c>
      <c r="F159" t="s">
        <v>18</v>
      </c>
      <c r="G159">
        <v>4</v>
      </c>
    </row>
    <row r="160" spans="1:7" x14ac:dyDescent="0.25">
      <c r="A160">
        <v>1970</v>
      </c>
      <c r="B160" t="s">
        <v>951</v>
      </c>
      <c r="C160">
        <v>48176</v>
      </c>
      <c r="D160" t="s">
        <v>18</v>
      </c>
      <c r="E160">
        <v>4</v>
      </c>
      <c r="F160" t="s">
        <v>18</v>
      </c>
      <c r="G160">
        <v>4</v>
      </c>
    </row>
    <row r="161" spans="1:7" x14ac:dyDescent="0.25">
      <c r="A161">
        <v>1965</v>
      </c>
      <c r="B161" t="s">
        <v>953</v>
      </c>
      <c r="C161">
        <v>48130</v>
      </c>
      <c r="D161" t="s">
        <v>18</v>
      </c>
      <c r="E161">
        <v>3</v>
      </c>
      <c r="F161" t="s">
        <v>18</v>
      </c>
      <c r="G161">
        <v>3</v>
      </c>
    </row>
    <row r="162" spans="1:7" x14ac:dyDescent="0.25">
      <c r="A162">
        <v>1977</v>
      </c>
      <c r="B162" t="s">
        <v>951</v>
      </c>
      <c r="C162">
        <v>48176</v>
      </c>
      <c r="D162" t="s">
        <v>18</v>
      </c>
      <c r="E162">
        <v>4</v>
      </c>
      <c r="F162" t="s">
        <v>18</v>
      </c>
      <c r="G162">
        <v>4</v>
      </c>
    </row>
    <row r="163" spans="1:7" x14ac:dyDescent="0.25">
      <c r="A163">
        <v>1970</v>
      </c>
      <c r="B163" t="s">
        <v>953</v>
      </c>
      <c r="C163">
        <v>48169</v>
      </c>
      <c r="D163" t="s">
        <v>18</v>
      </c>
      <c r="E163">
        <v>4</v>
      </c>
      <c r="F163" t="s">
        <v>18</v>
      </c>
      <c r="G163">
        <v>4</v>
      </c>
    </row>
    <row r="164" spans="1:7" x14ac:dyDescent="0.25">
      <c r="A164">
        <v>1979</v>
      </c>
      <c r="B164" t="s">
        <v>951</v>
      </c>
      <c r="C164">
        <v>48108</v>
      </c>
      <c r="D164" t="s">
        <v>18</v>
      </c>
      <c r="E164">
        <v>5</v>
      </c>
      <c r="F164" t="s">
        <v>18</v>
      </c>
      <c r="G164">
        <v>5</v>
      </c>
    </row>
    <row r="165" spans="1:7" x14ac:dyDescent="0.25">
      <c r="A165">
        <v>1963</v>
      </c>
      <c r="B165" t="s">
        <v>953</v>
      </c>
      <c r="C165">
        <v>48197</v>
      </c>
      <c r="D165" t="s">
        <v>18</v>
      </c>
      <c r="E165">
        <v>5</v>
      </c>
      <c r="F165" t="s">
        <v>18</v>
      </c>
      <c r="G165">
        <v>5</v>
      </c>
    </row>
    <row r="166" spans="1:7" x14ac:dyDescent="0.25">
      <c r="A166">
        <v>1978</v>
      </c>
      <c r="B166" t="s">
        <v>953</v>
      </c>
      <c r="C166">
        <v>48197</v>
      </c>
      <c r="D166" t="s">
        <v>18</v>
      </c>
      <c r="E166">
        <v>3</v>
      </c>
      <c r="F166" t="s">
        <v>18</v>
      </c>
      <c r="G166">
        <v>3</v>
      </c>
    </row>
    <row r="167" spans="1:7" x14ac:dyDescent="0.25">
      <c r="A167">
        <v>1961</v>
      </c>
      <c r="B167" t="s">
        <v>951</v>
      </c>
      <c r="C167">
        <v>48176</v>
      </c>
      <c r="D167" t="s">
        <v>17</v>
      </c>
      <c r="E167">
        <v>2</v>
      </c>
      <c r="F167" t="s">
        <v>17</v>
      </c>
      <c r="G167">
        <v>2</v>
      </c>
    </row>
    <row r="168" spans="1:7" x14ac:dyDescent="0.25">
      <c r="A168">
        <v>1972</v>
      </c>
      <c r="B168" t="s">
        <v>951</v>
      </c>
      <c r="C168">
        <v>48104</v>
      </c>
      <c r="D168" t="s">
        <v>18</v>
      </c>
      <c r="E168">
        <v>3</v>
      </c>
      <c r="F168" t="s">
        <v>18</v>
      </c>
      <c r="G168">
        <v>3</v>
      </c>
    </row>
    <row r="169" spans="1:7" x14ac:dyDescent="0.25">
      <c r="A169">
        <v>1970</v>
      </c>
      <c r="B169" t="s">
        <v>951</v>
      </c>
      <c r="C169">
        <v>48103</v>
      </c>
      <c r="D169" t="s">
        <v>17</v>
      </c>
      <c r="E169">
        <v>2</v>
      </c>
      <c r="F169" t="s">
        <v>17</v>
      </c>
      <c r="G169">
        <v>2</v>
      </c>
    </row>
    <row r="170" spans="1:7" x14ac:dyDescent="0.25">
      <c r="A170">
        <v>1972</v>
      </c>
      <c r="B170" t="s">
        <v>953</v>
      </c>
      <c r="C170">
        <v>49270</v>
      </c>
      <c r="D170" t="s">
        <v>17</v>
      </c>
      <c r="E170">
        <v>2</v>
      </c>
      <c r="F170" t="s">
        <v>17</v>
      </c>
      <c r="G170">
        <v>2</v>
      </c>
    </row>
    <row r="171" spans="1:7" x14ac:dyDescent="0.25">
      <c r="A171">
        <v>1968</v>
      </c>
      <c r="B171" t="s">
        <v>953</v>
      </c>
      <c r="C171">
        <v>48176</v>
      </c>
      <c r="D171" t="s">
        <v>18</v>
      </c>
      <c r="E171">
        <v>4</v>
      </c>
      <c r="F171" t="s">
        <v>18</v>
      </c>
      <c r="G171">
        <v>4</v>
      </c>
    </row>
    <row r="172" spans="1:7" x14ac:dyDescent="0.25">
      <c r="A172">
        <v>1966</v>
      </c>
      <c r="B172" t="s">
        <v>953</v>
      </c>
      <c r="C172">
        <v>48112</v>
      </c>
      <c r="D172" t="s">
        <v>17</v>
      </c>
      <c r="E172">
        <v>2</v>
      </c>
      <c r="F172" t="s">
        <v>17</v>
      </c>
      <c r="G172">
        <v>2</v>
      </c>
    </row>
    <row r="173" spans="1:7" x14ac:dyDescent="0.25">
      <c r="A173">
        <v>1965</v>
      </c>
      <c r="B173" t="s">
        <v>951</v>
      </c>
      <c r="C173">
        <v>48189</v>
      </c>
      <c r="D173" t="s">
        <v>16</v>
      </c>
      <c r="E173">
        <v>1</v>
      </c>
      <c r="F173" t="s">
        <v>16</v>
      </c>
      <c r="G173">
        <v>1</v>
      </c>
    </row>
    <row r="174" spans="1:7" x14ac:dyDescent="0.25">
      <c r="A174">
        <v>1968</v>
      </c>
      <c r="B174" t="s">
        <v>953</v>
      </c>
      <c r="C174">
        <v>48186</v>
      </c>
      <c r="D174" t="s">
        <v>952</v>
      </c>
      <c r="E174">
        <v>0</v>
      </c>
      <c r="F174" t="s">
        <v>17</v>
      </c>
      <c r="G174">
        <v>2</v>
      </c>
    </row>
    <row r="175" spans="1:7" x14ac:dyDescent="0.25">
      <c r="A175">
        <v>1976</v>
      </c>
      <c r="B175" t="s">
        <v>951</v>
      </c>
      <c r="C175">
        <v>48104</v>
      </c>
      <c r="D175" t="s">
        <v>18</v>
      </c>
      <c r="E175">
        <v>4</v>
      </c>
      <c r="F175" t="s">
        <v>18</v>
      </c>
      <c r="G175">
        <v>4</v>
      </c>
    </row>
    <row r="176" spans="1:7" x14ac:dyDescent="0.25">
      <c r="A176">
        <v>1967</v>
      </c>
      <c r="B176" t="s">
        <v>951</v>
      </c>
      <c r="C176">
        <v>48160</v>
      </c>
      <c r="D176" t="s">
        <v>952</v>
      </c>
      <c r="E176">
        <v>0</v>
      </c>
      <c r="F176" t="s">
        <v>18</v>
      </c>
      <c r="G176">
        <v>3</v>
      </c>
    </row>
    <row r="177" spans="1:7" x14ac:dyDescent="0.25">
      <c r="A177">
        <v>1968</v>
      </c>
      <c r="B177" t="s">
        <v>953</v>
      </c>
      <c r="C177">
        <v>49286</v>
      </c>
      <c r="D177" t="s">
        <v>18</v>
      </c>
      <c r="E177">
        <v>3</v>
      </c>
      <c r="F177" t="s">
        <v>18</v>
      </c>
      <c r="G177">
        <v>3</v>
      </c>
    </row>
    <row r="178" spans="1:7" x14ac:dyDescent="0.25">
      <c r="A178">
        <v>1973</v>
      </c>
      <c r="B178" t="s">
        <v>951</v>
      </c>
      <c r="C178">
        <v>48160</v>
      </c>
      <c r="D178" t="s">
        <v>18</v>
      </c>
      <c r="E178">
        <v>4</v>
      </c>
      <c r="F178" t="s">
        <v>18</v>
      </c>
      <c r="G178">
        <v>4</v>
      </c>
    </row>
    <row r="179" spans="1:7" x14ac:dyDescent="0.25">
      <c r="A179">
        <v>1981</v>
      </c>
      <c r="B179" t="s">
        <v>953</v>
      </c>
      <c r="C179">
        <v>48176</v>
      </c>
      <c r="D179" t="s">
        <v>18</v>
      </c>
      <c r="E179">
        <v>4</v>
      </c>
      <c r="F179" t="s">
        <v>18</v>
      </c>
      <c r="G179">
        <v>4</v>
      </c>
    </row>
    <row r="180" spans="1:7" x14ac:dyDescent="0.25">
      <c r="A180">
        <v>1980</v>
      </c>
      <c r="B180" t="s">
        <v>951</v>
      </c>
      <c r="C180">
        <v>48108</v>
      </c>
      <c r="D180" t="s">
        <v>16</v>
      </c>
      <c r="E180">
        <v>1</v>
      </c>
      <c r="F180" t="s">
        <v>16</v>
      </c>
      <c r="G180">
        <v>1</v>
      </c>
    </row>
    <row r="181" spans="1:7" x14ac:dyDescent="0.25">
      <c r="A181">
        <v>1968</v>
      </c>
      <c r="B181" t="s">
        <v>951</v>
      </c>
      <c r="C181">
        <v>48191</v>
      </c>
      <c r="D181" t="s">
        <v>18</v>
      </c>
      <c r="E181">
        <v>4</v>
      </c>
      <c r="F181" t="s">
        <v>18</v>
      </c>
      <c r="G181">
        <v>4</v>
      </c>
    </row>
    <row r="182" spans="1:7" x14ac:dyDescent="0.25">
      <c r="A182">
        <v>1980</v>
      </c>
      <c r="B182" t="s">
        <v>951</v>
      </c>
      <c r="C182">
        <v>48176</v>
      </c>
      <c r="D182" t="s">
        <v>18</v>
      </c>
      <c r="E182">
        <v>4</v>
      </c>
      <c r="F182" t="s">
        <v>18</v>
      </c>
      <c r="G182">
        <v>4</v>
      </c>
    </row>
    <row r="183" spans="1:7" x14ac:dyDescent="0.25">
      <c r="A183">
        <v>1980</v>
      </c>
      <c r="B183" t="s">
        <v>951</v>
      </c>
      <c r="C183">
        <v>48176</v>
      </c>
      <c r="D183" t="s">
        <v>18</v>
      </c>
      <c r="E183">
        <v>4</v>
      </c>
      <c r="F183" t="s">
        <v>18</v>
      </c>
      <c r="G183">
        <v>4</v>
      </c>
    </row>
    <row r="184" spans="1:7" x14ac:dyDescent="0.25">
      <c r="A184">
        <v>1980</v>
      </c>
      <c r="B184" t="s">
        <v>951</v>
      </c>
      <c r="C184">
        <v>48176</v>
      </c>
      <c r="D184" t="s">
        <v>952</v>
      </c>
      <c r="E184">
        <v>0</v>
      </c>
      <c r="F184" t="s">
        <v>18</v>
      </c>
      <c r="G184">
        <v>5</v>
      </c>
    </row>
    <row r="185" spans="1:7" x14ac:dyDescent="0.25">
      <c r="A185">
        <v>1979</v>
      </c>
      <c r="B185" t="s">
        <v>951</v>
      </c>
      <c r="C185">
        <v>48104</v>
      </c>
      <c r="D185" t="s">
        <v>18</v>
      </c>
      <c r="E185">
        <v>4</v>
      </c>
      <c r="F185" t="s">
        <v>18</v>
      </c>
      <c r="G185">
        <v>4</v>
      </c>
    </row>
    <row r="186" spans="1:7" x14ac:dyDescent="0.25">
      <c r="A186">
        <v>1967</v>
      </c>
      <c r="B186" t="s">
        <v>951</v>
      </c>
      <c r="C186">
        <v>48158</v>
      </c>
      <c r="D186" t="s">
        <v>16</v>
      </c>
      <c r="E186">
        <v>1</v>
      </c>
      <c r="F186" t="s">
        <v>16</v>
      </c>
      <c r="G186">
        <v>1</v>
      </c>
    </row>
    <row r="187" spans="1:7" x14ac:dyDescent="0.25">
      <c r="A187">
        <v>1968</v>
      </c>
      <c r="B187" t="s">
        <v>951</v>
      </c>
      <c r="C187">
        <v>48118</v>
      </c>
      <c r="D187" t="s">
        <v>16</v>
      </c>
      <c r="E187">
        <v>1</v>
      </c>
      <c r="F187" t="s">
        <v>16</v>
      </c>
      <c r="G187">
        <v>1</v>
      </c>
    </row>
    <row r="188" spans="1:7" x14ac:dyDescent="0.25">
      <c r="A188">
        <v>1969</v>
      </c>
      <c r="B188" t="s">
        <v>953</v>
      </c>
      <c r="C188">
        <v>48198</v>
      </c>
      <c r="D188" t="s">
        <v>18</v>
      </c>
      <c r="E188">
        <v>3</v>
      </c>
      <c r="F188" t="s">
        <v>18</v>
      </c>
      <c r="G188">
        <v>3</v>
      </c>
    </row>
    <row r="189" spans="1:7" x14ac:dyDescent="0.25">
      <c r="A189">
        <v>1974</v>
      </c>
      <c r="B189" t="s">
        <v>951</v>
      </c>
      <c r="C189">
        <v>48197</v>
      </c>
      <c r="D189" t="s">
        <v>17</v>
      </c>
      <c r="E189">
        <v>2</v>
      </c>
      <c r="F189" t="s">
        <v>17</v>
      </c>
      <c r="G189">
        <v>2</v>
      </c>
    </row>
    <row r="190" spans="1:7" x14ac:dyDescent="0.25">
      <c r="A190">
        <v>1974</v>
      </c>
      <c r="B190" t="s">
        <v>951</v>
      </c>
      <c r="C190">
        <v>48197</v>
      </c>
      <c r="D190" t="s">
        <v>18</v>
      </c>
      <c r="E190">
        <v>4</v>
      </c>
      <c r="F190" t="s">
        <v>18</v>
      </c>
      <c r="G190">
        <v>4</v>
      </c>
    </row>
    <row r="191" spans="1:7" x14ac:dyDescent="0.25">
      <c r="A191">
        <v>1980</v>
      </c>
      <c r="B191" t="s">
        <v>951</v>
      </c>
      <c r="C191">
        <v>48176</v>
      </c>
      <c r="D191" t="s">
        <v>952</v>
      </c>
      <c r="E191">
        <v>0</v>
      </c>
      <c r="F191" t="s">
        <v>18</v>
      </c>
      <c r="G191">
        <v>4</v>
      </c>
    </row>
    <row r="192" spans="1:7" x14ac:dyDescent="0.25">
      <c r="A192">
        <v>1982</v>
      </c>
      <c r="B192" t="s">
        <v>951</v>
      </c>
      <c r="C192">
        <v>48176</v>
      </c>
      <c r="D192" t="s">
        <v>18</v>
      </c>
      <c r="E192">
        <v>4</v>
      </c>
      <c r="F192" t="s">
        <v>18</v>
      </c>
      <c r="G192">
        <v>4</v>
      </c>
    </row>
    <row r="193" spans="1:7" x14ac:dyDescent="0.25">
      <c r="A193">
        <v>1981</v>
      </c>
      <c r="B193" t="s">
        <v>951</v>
      </c>
      <c r="C193">
        <v>48111</v>
      </c>
      <c r="D193" t="s">
        <v>18</v>
      </c>
      <c r="E193">
        <v>5</v>
      </c>
      <c r="F193" t="s">
        <v>18</v>
      </c>
      <c r="G193">
        <v>5</v>
      </c>
    </row>
    <row r="194" spans="1:7" x14ac:dyDescent="0.25">
      <c r="A194">
        <v>1974</v>
      </c>
      <c r="B194" t="s">
        <v>951</v>
      </c>
      <c r="C194">
        <v>48104</v>
      </c>
      <c r="D194" t="s">
        <v>952</v>
      </c>
      <c r="E194">
        <v>0</v>
      </c>
      <c r="F194" t="s">
        <v>18</v>
      </c>
      <c r="G194">
        <v>4</v>
      </c>
    </row>
    <row r="195" spans="1:7" x14ac:dyDescent="0.25">
      <c r="A195">
        <v>1978</v>
      </c>
      <c r="B195" t="s">
        <v>951</v>
      </c>
      <c r="C195">
        <v>48187</v>
      </c>
      <c r="D195" t="s">
        <v>18</v>
      </c>
      <c r="E195">
        <v>4</v>
      </c>
      <c r="F195" t="s">
        <v>18</v>
      </c>
      <c r="G195">
        <v>4</v>
      </c>
    </row>
    <row r="196" spans="1:7" x14ac:dyDescent="0.25">
      <c r="A196">
        <v>1955</v>
      </c>
      <c r="B196" t="s">
        <v>951</v>
      </c>
      <c r="C196">
        <v>48108</v>
      </c>
      <c r="D196" t="s">
        <v>18</v>
      </c>
      <c r="E196">
        <v>3</v>
      </c>
      <c r="F196" t="s">
        <v>17</v>
      </c>
      <c r="G196">
        <v>2</v>
      </c>
    </row>
    <row r="197" spans="1:7" x14ac:dyDescent="0.25">
      <c r="A197">
        <v>1965</v>
      </c>
      <c r="B197" t="s">
        <v>951</v>
      </c>
      <c r="C197">
        <v>48176</v>
      </c>
      <c r="D197" t="s">
        <v>18</v>
      </c>
      <c r="E197">
        <v>4</v>
      </c>
      <c r="F197" t="s">
        <v>18</v>
      </c>
      <c r="G197">
        <v>4</v>
      </c>
    </row>
    <row r="198" spans="1:7" x14ac:dyDescent="0.25">
      <c r="A198">
        <v>1978</v>
      </c>
      <c r="B198" t="s">
        <v>953</v>
      </c>
      <c r="C198">
        <v>48188</v>
      </c>
      <c r="D198" t="s">
        <v>18</v>
      </c>
      <c r="E198">
        <v>4</v>
      </c>
      <c r="F198" t="s">
        <v>18</v>
      </c>
      <c r="G198">
        <v>4</v>
      </c>
    </row>
    <row r="199" spans="1:7" x14ac:dyDescent="0.25">
      <c r="A199">
        <v>1982</v>
      </c>
      <c r="B199" t="s">
        <v>953</v>
      </c>
      <c r="C199">
        <v>48176</v>
      </c>
      <c r="D199" t="s">
        <v>18</v>
      </c>
      <c r="E199">
        <v>6</v>
      </c>
      <c r="F199" t="s">
        <v>18</v>
      </c>
      <c r="G199">
        <v>6</v>
      </c>
    </row>
    <row r="200" spans="1:7" x14ac:dyDescent="0.25">
      <c r="A200">
        <v>1982</v>
      </c>
      <c r="B200" t="s">
        <v>951</v>
      </c>
      <c r="C200">
        <v>48103</v>
      </c>
      <c r="D200" t="s">
        <v>16</v>
      </c>
      <c r="E200">
        <v>1</v>
      </c>
      <c r="F200" t="s">
        <v>16</v>
      </c>
      <c r="G200">
        <v>1</v>
      </c>
    </row>
    <row r="201" spans="1:7" x14ac:dyDescent="0.25">
      <c r="A201">
        <v>1982</v>
      </c>
      <c r="B201" t="s">
        <v>951</v>
      </c>
      <c r="C201">
        <v>48176</v>
      </c>
      <c r="D201" t="s">
        <v>18</v>
      </c>
      <c r="E201">
        <v>5</v>
      </c>
      <c r="F201" t="s">
        <v>18</v>
      </c>
      <c r="G201">
        <v>5</v>
      </c>
    </row>
    <row r="202" spans="1:7" x14ac:dyDescent="0.25">
      <c r="A202">
        <v>1979</v>
      </c>
      <c r="B202" t="s">
        <v>951</v>
      </c>
      <c r="C202">
        <v>48374</v>
      </c>
      <c r="D202" t="s">
        <v>18</v>
      </c>
      <c r="E202">
        <v>4</v>
      </c>
      <c r="F202" t="s">
        <v>18</v>
      </c>
      <c r="G202">
        <v>4</v>
      </c>
    </row>
    <row r="203" spans="1:7" x14ac:dyDescent="0.25">
      <c r="A203">
        <v>1971</v>
      </c>
      <c r="B203" t="s">
        <v>953</v>
      </c>
      <c r="C203">
        <v>48176</v>
      </c>
      <c r="D203" t="s">
        <v>18</v>
      </c>
      <c r="E203">
        <v>4</v>
      </c>
      <c r="F203" t="s">
        <v>18</v>
      </c>
      <c r="G203">
        <v>4</v>
      </c>
    </row>
    <row r="204" spans="1:7" x14ac:dyDescent="0.25">
      <c r="A204">
        <v>1981</v>
      </c>
      <c r="B204" t="s">
        <v>953</v>
      </c>
      <c r="C204">
        <v>48158</v>
      </c>
      <c r="D204" t="s">
        <v>18</v>
      </c>
      <c r="E204">
        <v>4</v>
      </c>
      <c r="F204" t="s">
        <v>18</v>
      </c>
      <c r="G204">
        <v>4</v>
      </c>
    </row>
    <row r="205" spans="1:7" x14ac:dyDescent="0.25">
      <c r="A205">
        <v>1970</v>
      </c>
      <c r="B205" t="s">
        <v>951</v>
      </c>
      <c r="C205">
        <v>48176</v>
      </c>
      <c r="D205" t="s">
        <v>18</v>
      </c>
      <c r="E205">
        <v>4</v>
      </c>
      <c r="F205" t="s">
        <v>18</v>
      </c>
      <c r="G205">
        <v>4</v>
      </c>
    </row>
    <row r="206" spans="1:7" x14ac:dyDescent="0.25">
      <c r="A206">
        <v>1982</v>
      </c>
      <c r="B206" t="s">
        <v>951</v>
      </c>
      <c r="C206">
        <v>48176</v>
      </c>
      <c r="D206" t="s">
        <v>18</v>
      </c>
      <c r="E206">
        <v>4</v>
      </c>
      <c r="F206" t="s">
        <v>18</v>
      </c>
      <c r="G206">
        <v>4</v>
      </c>
    </row>
    <row r="207" spans="1:7" x14ac:dyDescent="0.25">
      <c r="A207">
        <v>1979</v>
      </c>
      <c r="B207" t="s">
        <v>953</v>
      </c>
      <c r="C207">
        <v>48176</v>
      </c>
      <c r="D207" t="s">
        <v>18</v>
      </c>
      <c r="E207">
        <v>4</v>
      </c>
      <c r="F207" t="s">
        <v>18</v>
      </c>
      <c r="G207">
        <v>4</v>
      </c>
    </row>
    <row r="208" spans="1:7" x14ac:dyDescent="0.25">
      <c r="A208">
        <v>1980</v>
      </c>
      <c r="B208" t="s">
        <v>953</v>
      </c>
      <c r="C208">
        <v>48176</v>
      </c>
      <c r="D208" t="s">
        <v>18</v>
      </c>
      <c r="E208">
        <v>4</v>
      </c>
      <c r="F208" t="s">
        <v>18</v>
      </c>
      <c r="G208">
        <v>4</v>
      </c>
    </row>
    <row r="209" spans="1:7" x14ac:dyDescent="0.25">
      <c r="A209">
        <v>1964</v>
      </c>
      <c r="B209" t="s">
        <v>951</v>
      </c>
      <c r="C209">
        <v>48176</v>
      </c>
      <c r="D209" t="s">
        <v>18</v>
      </c>
      <c r="E209">
        <v>4</v>
      </c>
      <c r="F209" t="s">
        <v>18</v>
      </c>
      <c r="G209">
        <v>4</v>
      </c>
    </row>
    <row r="210" spans="1:7" x14ac:dyDescent="0.25">
      <c r="A210">
        <v>1959</v>
      </c>
      <c r="B210" t="s">
        <v>951</v>
      </c>
      <c r="C210">
        <v>48176</v>
      </c>
      <c r="D210" t="s">
        <v>17</v>
      </c>
      <c r="E210">
        <v>2</v>
      </c>
      <c r="F210" t="s">
        <v>17</v>
      </c>
      <c r="G210">
        <v>2</v>
      </c>
    </row>
    <row r="211" spans="1:7" x14ac:dyDescent="0.25">
      <c r="A211">
        <v>1964</v>
      </c>
      <c r="B211" t="s">
        <v>951</v>
      </c>
      <c r="C211">
        <v>49286</v>
      </c>
      <c r="D211" t="s">
        <v>952</v>
      </c>
      <c r="E211">
        <v>0</v>
      </c>
      <c r="F211" t="s">
        <v>18</v>
      </c>
      <c r="G211">
        <v>4</v>
      </c>
    </row>
    <row r="212" spans="1:7" x14ac:dyDescent="0.25">
      <c r="A212">
        <v>1969</v>
      </c>
      <c r="B212" t="s">
        <v>951</v>
      </c>
      <c r="C212">
        <v>48176</v>
      </c>
      <c r="D212" t="s">
        <v>18</v>
      </c>
      <c r="E212">
        <v>5</v>
      </c>
      <c r="F212" t="s">
        <v>18</v>
      </c>
      <c r="G212">
        <v>5</v>
      </c>
    </row>
    <row r="213" spans="1:7" x14ac:dyDescent="0.25">
      <c r="A213">
        <v>1980</v>
      </c>
      <c r="B213" t="s">
        <v>951</v>
      </c>
      <c r="C213">
        <v>48103</v>
      </c>
      <c r="D213" t="s">
        <v>18</v>
      </c>
      <c r="E213">
        <v>5</v>
      </c>
      <c r="F213" t="s">
        <v>18</v>
      </c>
      <c r="G213">
        <v>5</v>
      </c>
    </row>
    <row r="214" spans="1:7" x14ac:dyDescent="0.25">
      <c r="A214">
        <v>1962</v>
      </c>
      <c r="B214" t="s">
        <v>951</v>
      </c>
      <c r="C214">
        <v>48176</v>
      </c>
      <c r="D214" t="s">
        <v>16</v>
      </c>
      <c r="E214">
        <v>1</v>
      </c>
      <c r="F214" t="s">
        <v>16</v>
      </c>
      <c r="G214">
        <v>1</v>
      </c>
    </row>
    <row r="215" spans="1:7" x14ac:dyDescent="0.25">
      <c r="A215">
        <v>1967</v>
      </c>
      <c r="B215" t="s">
        <v>951</v>
      </c>
      <c r="C215">
        <v>49221</v>
      </c>
      <c r="D215" t="s">
        <v>952</v>
      </c>
      <c r="E215">
        <v>0</v>
      </c>
      <c r="F215" t="s">
        <v>16</v>
      </c>
      <c r="G215">
        <v>1</v>
      </c>
    </row>
    <row r="216" spans="1:7" x14ac:dyDescent="0.25">
      <c r="A216">
        <v>1979</v>
      </c>
      <c r="B216" t="s">
        <v>951</v>
      </c>
      <c r="C216">
        <v>48131</v>
      </c>
      <c r="D216" t="s">
        <v>16</v>
      </c>
      <c r="E216">
        <v>1</v>
      </c>
      <c r="F216" t="s">
        <v>16</v>
      </c>
      <c r="G216">
        <v>1</v>
      </c>
    </row>
    <row r="217" spans="1:7" x14ac:dyDescent="0.25">
      <c r="A217">
        <v>1970</v>
      </c>
      <c r="B217" t="s">
        <v>951</v>
      </c>
      <c r="C217">
        <v>48130</v>
      </c>
      <c r="D217" t="s">
        <v>18</v>
      </c>
      <c r="E217">
        <v>5</v>
      </c>
      <c r="F217" t="s">
        <v>18</v>
      </c>
      <c r="G217">
        <v>5</v>
      </c>
    </row>
    <row r="218" spans="1:7" x14ac:dyDescent="0.25">
      <c r="A218">
        <v>1982</v>
      </c>
      <c r="B218" t="s">
        <v>951</v>
      </c>
      <c r="C218">
        <v>48176</v>
      </c>
      <c r="D218" t="s">
        <v>18</v>
      </c>
      <c r="E218">
        <v>7</v>
      </c>
      <c r="F218" t="s">
        <v>18</v>
      </c>
      <c r="G218">
        <v>7</v>
      </c>
    </row>
    <row r="219" spans="1:7" x14ac:dyDescent="0.25">
      <c r="A219">
        <v>1970</v>
      </c>
      <c r="B219" t="s">
        <v>951</v>
      </c>
      <c r="C219">
        <v>48176</v>
      </c>
      <c r="D219" t="s">
        <v>18</v>
      </c>
      <c r="E219">
        <v>3</v>
      </c>
      <c r="F219" t="s">
        <v>18</v>
      </c>
      <c r="G219">
        <v>3</v>
      </c>
    </row>
    <row r="220" spans="1:7" x14ac:dyDescent="0.25">
      <c r="A220">
        <v>1983</v>
      </c>
      <c r="B220" t="s">
        <v>951</v>
      </c>
      <c r="C220">
        <v>48176</v>
      </c>
      <c r="D220" t="s">
        <v>952</v>
      </c>
      <c r="E220">
        <v>0</v>
      </c>
      <c r="F220" t="s">
        <v>18</v>
      </c>
      <c r="G220">
        <v>5</v>
      </c>
    </row>
    <row r="221" spans="1:7" x14ac:dyDescent="0.25">
      <c r="A221">
        <v>1965</v>
      </c>
      <c r="B221" t="s">
        <v>953</v>
      </c>
      <c r="C221">
        <v>48108</v>
      </c>
      <c r="D221" t="s">
        <v>16</v>
      </c>
      <c r="E221">
        <v>1</v>
      </c>
      <c r="F221" t="s">
        <v>16</v>
      </c>
      <c r="G221">
        <v>1</v>
      </c>
    </row>
    <row r="222" spans="1:7" x14ac:dyDescent="0.25">
      <c r="A222">
        <v>1973</v>
      </c>
      <c r="B222" t="s">
        <v>951</v>
      </c>
      <c r="C222">
        <v>48131</v>
      </c>
      <c r="D222" t="s">
        <v>18</v>
      </c>
      <c r="E222">
        <v>5</v>
      </c>
      <c r="F222" t="s">
        <v>18</v>
      </c>
      <c r="G222">
        <v>5</v>
      </c>
    </row>
    <row r="223" spans="1:7" x14ac:dyDescent="0.25">
      <c r="A223">
        <v>1984</v>
      </c>
      <c r="B223" t="s">
        <v>953</v>
      </c>
      <c r="C223">
        <v>48130</v>
      </c>
      <c r="D223" t="s">
        <v>18</v>
      </c>
      <c r="E223">
        <v>4</v>
      </c>
      <c r="F223" t="s">
        <v>18</v>
      </c>
      <c r="G223">
        <v>4</v>
      </c>
    </row>
    <row r="224" spans="1:7" x14ac:dyDescent="0.25">
      <c r="A224">
        <v>1969</v>
      </c>
      <c r="B224" t="s">
        <v>951</v>
      </c>
      <c r="C224">
        <v>48176</v>
      </c>
      <c r="D224" t="s">
        <v>952</v>
      </c>
      <c r="E224">
        <v>0</v>
      </c>
      <c r="F224" t="s">
        <v>18</v>
      </c>
      <c r="G224">
        <v>3</v>
      </c>
    </row>
    <row r="225" spans="1:7" x14ac:dyDescent="0.25">
      <c r="A225">
        <v>1956</v>
      </c>
      <c r="B225" t="s">
        <v>951</v>
      </c>
      <c r="C225">
        <v>48176</v>
      </c>
      <c r="D225" t="s">
        <v>18</v>
      </c>
      <c r="E225">
        <v>3</v>
      </c>
      <c r="F225" t="s">
        <v>18</v>
      </c>
      <c r="G225">
        <v>3</v>
      </c>
    </row>
    <row r="226" spans="1:7" x14ac:dyDescent="0.25">
      <c r="A226">
        <v>1979</v>
      </c>
      <c r="B226" t="s">
        <v>953</v>
      </c>
      <c r="C226">
        <v>48108</v>
      </c>
      <c r="D226" t="s">
        <v>18</v>
      </c>
      <c r="E226">
        <v>3</v>
      </c>
      <c r="F226" t="s">
        <v>18</v>
      </c>
      <c r="G226">
        <v>3</v>
      </c>
    </row>
    <row r="227" spans="1:7" x14ac:dyDescent="0.25">
      <c r="A227">
        <v>1983</v>
      </c>
      <c r="B227" t="s">
        <v>951</v>
      </c>
      <c r="C227">
        <v>48176</v>
      </c>
      <c r="D227" t="s">
        <v>18</v>
      </c>
      <c r="E227">
        <v>6</v>
      </c>
      <c r="F227" t="s">
        <v>18</v>
      </c>
      <c r="G227">
        <v>6</v>
      </c>
    </row>
    <row r="228" spans="1:7" x14ac:dyDescent="0.25">
      <c r="A228">
        <v>1983</v>
      </c>
      <c r="B228" t="s">
        <v>951</v>
      </c>
      <c r="C228">
        <v>48176</v>
      </c>
      <c r="D228" t="s">
        <v>952</v>
      </c>
      <c r="E228">
        <v>0</v>
      </c>
      <c r="F228" t="s">
        <v>18</v>
      </c>
      <c r="G228">
        <v>4</v>
      </c>
    </row>
    <row r="229" spans="1:7" x14ac:dyDescent="0.25">
      <c r="A229">
        <v>1979</v>
      </c>
      <c r="B229" t="s">
        <v>951</v>
      </c>
      <c r="C229">
        <v>48176</v>
      </c>
      <c r="D229" t="s">
        <v>952</v>
      </c>
      <c r="E229">
        <v>0</v>
      </c>
      <c r="F229" t="s">
        <v>18</v>
      </c>
      <c r="G229">
        <v>4</v>
      </c>
    </row>
    <row r="230" spans="1:7" x14ac:dyDescent="0.25">
      <c r="A230">
        <v>1982</v>
      </c>
      <c r="B230" t="s">
        <v>951</v>
      </c>
      <c r="C230">
        <v>48105</v>
      </c>
      <c r="D230" t="s">
        <v>952</v>
      </c>
      <c r="E230">
        <v>0</v>
      </c>
      <c r="F230" t="s">
        <v>18</v>
      </c>
      <c r="G230">
        <v>5</v>
      </c>
    </row>
    <row r="231" spans="1:7" x14ac:dyDescent="0.25">
      <c r="A231">
        <v>1984</v>
      </c>
      <c r="B231" t="s">
        <v>951</v>
      </c>
      <c r="C231">
        <v>48118</v>
      </c>
      <c r="D231" t="s">
        <v>952</v>
      </c>
      <c r="E231">
        <v>0</v>
      </c>
      <c r="F231" t="s">
        <v>16</v>
      </c>
      <c r="G231">
        <v>1</v>
      </c>
    </row>
    <row r="232" spans="1:7" x14ac:dyDescent="0.25">
      <c r="A232">
        <v>1983</v>
      </c>
      <c r="B232" t="s">
        <v>951</v>
      </c>
      <c r="C232">
        <v>48197</v>
      </c>
      <c r="D232" t="s">
        <v>18</v>
      </c>
      <c r="E232">
        <v>3</v>
      </c>
      <c r="F232" t="s">
        <v>18</v>
      </c>
      <c r="G232">
        <v>3</v>
      </c>
    </row>
    <row r="233" spans="1:7" x14ac:dyDescent="0.25">
      <c r="A233">
        <v>1987</v>
      </c>
      <c r="B233" t="s">
        <v>951</v>
      </c>
      <c r="C233">
        <v>48176</v>
      </c>
      <c r="D233" t="s">
        <v>952</v>
      </c>
      <c r="E233">
        <v>0</v>
      </c>
      <c r="F233" t="s">
        <v>18</v>
      </c>
      <c r="G233">
        <v>3</v>
      </c>
    </row>
    <row r="234" spans="1:7" x14ac:dyDescent="0.25">
      <c r="A234">
        <v>1985</v>
      </c>
      <c r="B234" t="s">
        <v>951</v>
      </c>
      <c r="C234">
        <v>48131</v>
      </c>
      <c r="D234" t="s">
        <v>16</v>
      </c>
      <c r="E234">
        <v>1</v>
      </c>
      <c r="F234" t="s">
        <v>16</v>
      </c>
      <c r="G234">
        <v>1</v>
      </c>
    </row>
    <row r="235" spans="1:7" x14ac:dyDescent="0.25">
      <c r="A235">
        <v>1970</v>
      </c>
      <c r="B235" t="s">
        <v>951</v>
      </c>
      <c r="C235">
        <v>48197</v>
      </c>
      <c r="D235" t="s">
        <v>18</v>
      </c>
      <c r="E235">
        <v>4</v>
      </c>
      <c r="F235" t="s">
        <v>18</v>
      </c>
      <c r="G235">
        <v>3</v>
      </c>
    </row>
    <row r="236" spans="1:7" x14ac:dyDescent="0.25">
      <c r="A236">
        <v>1979</v>
      </c>
      <c r="B236" t="s">
        <v>951</v>
      </c>
      <c r="C236">
        <v>48197</v>
      </c>
      <c r="D236" t="s">
        <v>18</v>
      </c>
      <c r="E236">
        <v>5</v>
      </c>
      <c r="F236" t="s">
        <v>18</v>
      </c>
      <c r="G236">
        <v>5</v>
      </c>
    </row>
    <row r="237" spans="1:7" x14ac:dyDescent="0.25">
      <c r="A237">
        <v>1977</v>
      </c>
      <c r="B237" t="s">
        <v>951</v>
      </c>
      <c r="C237">
        <v>48176</v>
      </c>
      <c r="D237" t="s">
        <v>16</v>
      </c>
      <c r="E237">
        <v>1</v>
      </c>
      <c r="F237" t="s">
        <v>16</v>
      </c>
      <c r="G237">
        <v>1</v>
      </c>
    </row>
    <row r="238" spans="1:7" x14ac:dyDescent="0.25">
      <c r="A238">
        <v>1958</v>
      </c>
      <c r="B238" t="s">
        <v>953</v>
      </c>
      <c r="C238">
        <v>48105</v>
      </c>
      <c r="D238" t="s">
        <v>17</v>
      </c>
      <c r="E238">
        <v>2</v>
      </c>
      <c r="F238" t="s">
        <v>17</v>
      </c>
      <c r="G238">
        <v>2</v>
      </c>
    </row>
    <row r="239" spans="1:7" x14ac:dyDescent="0.25">
      <c r="A239">
        <v>1982</v>
      </c>
      <c r="B239" t="s">
        <v>951</v>
      </c>
      <c r="C239">
        <v>48187</v>
      </c>
      <c r="D239" t="s">
        <v>18</v>
      </c>
      <c r="E239">
        <v>4</v>
      </c>
      <c r="F239" t="s">
        <v>18</v>
      </c>
      <c r="G239">
        <v>4</v>
      </c>
    </row>
    <row r="240" spans="1:7" x14ac:dyDescent="0.25">
      <c r="A240">
        <v>1963</v>
      </c>
      <c r="B240" t="s">
        <v>951</v>
      </c>
      <c r="C240">
        <v>48176</v>
      </c>
      <c r="D240" t="s">
        <v>18</v>
      </c>
      <c r="E240">
        <v>6</v>
      </c>
      <c r="F240" t="s">
        <v>18</v>
      </c>
      <c r="G240">
        <v>6</v>
      </c>
    </row>
    <row r="241" spans="1:7" x14ac:dyDescent="0.25">
      <c r="A241">
        <v>1985</v>
      </c>
      <c r="B241" t="s">
        <v>951</v>
      </c>
      <c r="C241">
        <v>48168</v>
      </c>
      <c r="D241" t="s">
        <v>952</v>
      </c>
      <c r="E241">
        <v>0</v>
      </c>
      <c r="F241" t="s">
        <v>16</v>
      </c>
      <c r="G241">
        <v>1</v>
      </c>
    </row>
    <row r="242" spans="1:7" x14ac:dyDescent="0.25">
      <c r="A242">
        <v>1966</v>
      </c>
      <c r="B242" t="s">
        <v>953</v>
      </c>
      <c r="C242">
        <v>49270</v>
      </c>
      <c r="D242" t="s">
        <v>16</v>
      </c>
      <c r="E242">
        <v>1</v>
      </c>
      <c r="F242" t="s">
        <v>16</v>
      </c>
      <c r="G242">
        <v>1</v>
      </c>
    </row>
    <row r="243" spans="1:7" x14ac:dyDescent="0.25">
      <c r="A243">
        <v>1985</v>
      </c>
      <c r="B243" t="s">
        <v>951</v>
      </c>
      <c r="C243">
        <v>48105</v>
      </c>
      <c r="D243" t="s">
        <v>18</v>
      </c>
      <c r="E243">
        <v>4</v>
      </c>
      <c r="F243" t="s">
        <v>18</v>
      </c>
      <c r="G243">
        <v>4</v>
      </c>
    </row>
    <row r="244" spans="1:7" x14ac:dyDescent="0.25">
      <c r="A244">
        <v>1988</v>
      </c>
      <c r="B244" t="s">
        <v>953</v>
      </c>
      <c r="C244">
        <v>48197</v>
      </c>
      <c r="D244" t="s">
        <v>16</v>
      </c>
      <c r="E244">
        <v>1</v>
      </c>
      <c r="F244" t="s">
        <v>16</v>
      </c>
      <c r="G244">
        <v>1</v>
      </c>
    </row>
    <row r="245" spans="1:7" x14ac:dyDescent="0.25">
      <c r="A245">
        <v>1963</v>
      </c>
      <c r="B245" t="s">
        <v>953</v>
      </c>
      <c r="C245">
        <v>49286</v>
      </c>
      <c r="D245" t="s">
        <v>17</v>
      </c>
      <c r="E245">
        <v>2</v>
      </c>
      <c r="F245" t="s">
        <v>17</v>
      </c>
      <c r="G245">
        <v>2</v>
      </c>
    </row>
    <row r="246" spans="1:7" x14ac:dyDescent="0.25">
      <c r="A246">
        <v>1985</v>
      </c>
      <c r="B246" t="s">
        <v>951</v>
      </c>
      <c r="C246">
        <v>48176</v>
      </c>
      <c r="D246" t="s">
        <v>952</v>
      </c>
      <c r="E246">
        <v>0</v>
      </c>
      <c r="F246" t="s">
        <v>18</v>
      </c>
      <c r="G246">
        <v>5</v>
      </c>
    </row>
    <row r="247" spans="1:7" x14ac:dyDescent="0.25">
      <c r="A247">
        <v>1982</v>
      </c>
      <c r="B247" t="s">
        <v>953</v>
      </c>
      <c r="C247">
        <v>49236</v>
      </c>
      <c r="D247" t="s">
        <v>18</v>
      </c>
      <c r="E247">
        <v>4</v>
      </c>
      <c r="F247" t="s">
        <v>18</v>
      </c>
      <c r="G247">
        <v>4</v>
      </c>
    </row>
    <row r="248" spans="1:7" x14ac:dyDescent="0.25">
      <c r="A248">
        <v>1980</v>
      </c>
      <c r="B248" t="s">
        <v>953</v>
      </c>
      <c r="C248">
        <v>49221</v>
      </c>
      <c r="D248" t="s">
        <v>18</v>
      </c>
      <c r="E248">
        <v>4</v>
      </c>
      <c r="F248" t="s">
        <v>18</v>
      </c>
      <c r="G248">
        <v>4</v>
      </c>
    </row>
    <row r="249" spans="1:7" x14ac:dyDescent="0.25">
      <c r="A249">
        <v>1985</v>
      </c>
      <c r="B249" t="s">
        <v>953</v>
      </c>
      <c r="C249">
        <v>48176</v>
      </c>
      <c r="D249" t="s">
        <v>16</v>
      </c>
      <c r="E249">
        <v>1</v>
      </c>
      <c r="F249" t="s">
        <v>16</v>
      </c>
      <c r="G249">
        <v>1</v>
      </c>
    </row>
    <row r="250" spans="1:7" x14ac:dyDescent="0.25">
      <c r="A250">
        <v>1986</v>
      </c>
      <c r="B250" t="s">
        <v>951</v>
      </c>
      <c r="C250">
        <v>48170</v>
      </c>
      <c r="D250" t="s">
        <v>18</v>
      </c>
      <c r="E250">
        <v>3</v>
      </c>
      <c r="F250" t="s">
        <v>18</v>
      </c>
      <c r="G250">
        <v>3</v>
      </c>
    </row>
    <row r="251" spans="1:7" x14ac:dyDescent="0.25">
      <c r="A251">
        <v>1963</v>
      </c>
      <c r="B251" t="s">
        <v>951</v>
      </c>
      <c r="C251">
        <v>49229</v>
      </c>
      <c r="D251" t="s">
        <v>18</v>
      </c>
      <c r="E251">
        <v>5</v>
      </c>
      <c r="F251" t="s">
        <v>18</v>
      </c>
      <c r="G251">
        <v>5</v>
      </c>
    </row>
    <row r="252" spans="1:7" x14ac:dyDescent="0.25">
      <c r="A252">
        <v>1987</v>
      </c>
      <c r="B252" t="s">
        <v>951</v>
      </c>
      <c r="C252">
        <v>48197</v>
      </c>
      <c r="D252" t="s">
        <v>18</v>
      </c>
      <c r="E252">
        <v>4</v>
      </c>
      <c r="F252" t="s">
        <v>18</v>
      </c>
      <c r="G252">
        <v>4</v>
      </c>
    </row>
    <row r="253" spans="1:7" x14ac:dyDescent="0.25">
      <c r="A253">
        <v>1988</v>
      </c>
      <c r="B253" t="s">
        <v>953</v>
      </c>
      <c r="C253">
        <v>49286</v>
      </c>
      <c r="D253" t="s">
        <v>18</v>
      </c>
      <c r="E253">
        <v>5</v>
      </c>
      <c r="F253" t="s">
        <v>18</v>
      </c>
      <c r="G253">
        <v>5</v>
      </c>
    </row>
    <row r="254" spans="1:7" x14ac:dyDescent="0.25">
      <c r="A254">
        <v>1987</v>
      </c>
      <c r="B254" t="s">
        <v>951</v>
      </c>
      <c r="C254">
        <v>48103</v>
      </c>
      <c r="D254" t="s">
        <v>16</v>
      </c>
      <c r="E254">
        <v>1</v>
      </c>
      <c r="F254" t="s">
        <v>16</v>
      </c>
      <c r="G254">
        <v>1</v>
      </c>
    </row>
    <row r="255" spans="1:7" x14ac:dyDescent="0.25">
      <c r="A255">
        <v>1981</v>
      </c>
      <c r="B255" t="s">
        <v>953</v>
      </c>
      <c r="C255">
        <v>48108</v>
      </c>
      <c r="D255" t="s">
        <v>18</v>
      </c>
      <c r="E255">
        <v>3</v>
      </c>
      <c r="F255" t="s">
        <v>18</v>
      </c>
      <c r="G255">
        <v>3</v>
      </c>
    </row>
    <row r="256" spans="1:7" x14ac:dyDescent="0.25">
      <c r="A256">
        <v>1987</v>
      </c>
      <c r="B256" t="s">
        <v>953</v>
      </c>
      <c r="C256">
        <v>48176</v>
      </c>
      <c r="D256" t="s">
        <v>18</v>
      </c>
      <c r="E256">
        <v>5</v>
      </c>
      <c r="F256" t="s">
        <v>18</v>
      </c>
      <c r="G256">
        <v>5</v>
      </c>
    </row>
    <row r="257" spans="1:7" x14ac:dyDescent="0.25">
      <c r="A257">
        <v>1963</v>
      </c>
      <c r="B257" t="s">
        <v>953</v>
      </c>
      <c r="C257">
        <v>48176</v>
      </c>
      <c r="D257" t="s">
        <v>16</v>
      </c>
      <c r="E257">
        <v>1</v>
      </c>
      <c r="F257" t="s">
        <v>16</v>
      </c>
      <c r="G257">
        <v>1</v>
      </c>
    </row>
    <row r="258" spans="1:7" x14ac:dyDescent="0.25">
      <c r="A258">
        <v>1975</v>
      </c>
      <c r="B258" t="s">
        <v>951</v>
      </c>
      <c r="C258">
        <v>48108</v>
      </c>
      <c r="D258" t="s">
        <v>18</v>
      </c>
      <c r="E258">
        <v>4</v>
      </c>
      <c r="F258" t="s">
        <v>18</v>
      </c>
      <c r="G258">
        <v>4</v>
      </c>
    </row>
    <row r="259" spans="1:7" x14ac:dyDescent="0.25">
      <c r="A259">
        <v>1988</v>
      </c>
      <c r="B259" t="s">
        <v>953</v>
      </c>
      <c r="C259">
        <v>48183</v>
      </c>
      <c r="D259" t="s">
        <v>18</v>
      </c>
      <c r="E259">
        <v>3</v>
      </c>
      <c r="F259" t="s">
        <v>18</v>
      </c>
      <c r="G259">
        <v>3</v>
      </c>
    </row>
    <row r="260" spans="1:7" x14ac:dyDescent="0.25">
      <c r="A260">
        <v>1980</v>
      </c>
      <c r="B260" t="s">
        <v>951</v>
      </c>
      <c r="C260">
        <v>48188</v>
      </c>
      <c r="D260" t="s">
        <v>952</v>
      </c>
      <c r="E260">
        <v>0</v>
      </c>
      <c r="F260" t="s">
        <v>18</v>
      </c>
      <c r="G260">
        <v>3</v>
      </c>
    </row>
    <row r="261" spans="1:7" x14ac:dyDescent="0.25">
      <c r="A261">
        <v>1969</v>
      </c>
      <c r="B261" t="s">
        <v>951</v>
      </c>
      <c r="C261">
        <v>48160</v>
      </c>
      <c r="D261" t="s">
        <v>18</v>
      </c>
      <c r="E261">
        <v>5</v>
      </c>
      <c r="F261" t="s">
        <v>18</v>
      </c>
      <c r="G261">
        <v>5</v>
      </c>
    </row>
    <row r="262" spans="1:7" x14ac:dyDescent="0.25">
      <c r="A262">
        <v>1974</v>
      </c>
      <c r="B262" t="s">
        <v>951</v>
      </c>
      <c r="C262">
        <v>48176</v>
      </c>
      <c r="D262" t="s">
        <v>952</v>
      </c>
      <c r="E262">
        <v>0</v>
      </c>
      <c r="F262" t="s">
        <v>17</v>
      </c>
      <c r="G262">
        <v>2</v>
      </c>
    </row>
    <row r="263" spans="1:7" x14ac:dyDescent="0.25">
      <c r="A263">
        <v>1988</v>
      </c>
      <c r="B263" t="s">
        <v>951</v>
      </c>
      <c r="C263">
        <v>48160</v>
      </c>
      <c r="D263" t="s">
        <v>17</v>
      </c>
      <c r="E263">
        <v>2</v>
      </c>
      <c r="F263" t="s">
        <v>17</v>
      </c>
      <c r="G263">
        <v>2</v>
      </c>
    </row>
    <row r="264" spans="1:7" x14ac:dyDescent="0.25">
      <c r="A264">
        <v>1985</v>
      </c>
      <c r="B264" t="s">
        <v>951</v>
      </c>
      <c r="C264">
        <v>48176</v>
      </c>
      <c r="D264" t="s">
        <v>18</v>
      </c>
      <c r="E264">
        <v>5</v>
      </c>
      <c r="F264" t="s">
        <v>18</v>
      </c>
      <c r="G264">
        <v>5</v>
      </c>
    </row>
    <row r="265" spans="1:7" x14ac:dyDescent="0.25">
      <c r="A265">
        <v>1988</v>
      </c>
      <c r="B265" t="s">
        <v>953</v>
      </c>
      <c r="C265">
        <v>48130</v>
      </c>
      <c r="D265" t="s">
        <v>16</v>
      </c>
      <c r="E265">
        <v>1</v>
      </c>
      <c r="F265" t="s">
        <v>16</v>
      </c>
      <c r="G265">
        <v>1</v>
      </c>
    </row>
    <row r="266" spans="1:7" x14ac:dyDescent="0.25">
      <c r="A266">
        <v>1974</v>
      </c>
      <c r="B266" t="s">
        <v>951</v>
      </c>
      <c r="C266">
        <v>48197</v>
      </c>
      <c r="D266" t="s">
        <v>952</v>
      </c>
      <c r="E266">
        <v>0</v>
      </c>
      <c r="F266" t="s">
        <v>18</v>
      </c>
      <c r="G266">
        <v>4</v>
      </c>
    </row>
    <row r="267" spans="1:7" x14ac:dyDescent="0.25">
      <c r="A267">
        <v>1977</v>
      </c>
      <c r="B267" t="s">
        <v>953</v>
      </c>
      <c r="C267">
        <v>48178</v>
      </c>
      <c r="D267" t="s">
        <v>18</v>
      </c>
      <c r="E267">
        <v>3</v>
      </c>
      <c r="F267" t="s">
        <v>18</v>
      </c>
      <c r="G267">
        <v>3</v>
      </c>
    </row>
    <row r="268" spans="1:7" x14ac:dyDescent="0.25">
      <c r="A268">
        <v>1988</v>
      </c>
      <c r="B268" t="s">
        <v>951</v>
      </c>
      <c r="C268">
        <v>48111</v>
      </c>
      <c r="D268" t="s">
        <v>17</v>
      </c>
      <c r="E268">
        <v>2</v>
      </c>
      <c r="F268" t="s">
        <v>17</v>
      </c>
      <c r="G268">
        <v>2</v>
      </c>
    </row>
    <row r="269" spans="1:7" x14ac:dyDescent="0.25">
      <c r="A269">
        <v>1989</v>
      </c>
      <c r="B269" t="s">
        <v>953</v>
      </c>
      <c r="C269">
        <v>49286</v>
      </c>
      <c r="D269" t="s">
        <v>18</v>
      </c>
      <c r="E269">
        <v>3</v>
      </c>
      <c r="F269" t="s">
        <v>18</v>
      </c>
      <c r="G269">
        <v>3</v>
      </c>
    </row>
    <row r="270" spans="1:7" x14ac:dyDescent="0.25">
      <c r="A270">
        <v>1957</v>
      </c>
      <c r="B270" t="s">
        <v>951</v>
      </c>
      <c r="C270">
        <v>48185</v>
      </c>
      <c r="D270" t="s">
        <v>17</v>
      </c>
      <c r="E270">
        <v>2</v>
      </c>
      <c r="F270" t="s">
        <v>17</v>
      </c>
      <c r="G270">
        <v>2</v>
      </c>
    </row>
    <row r="271" spans="1:7" x14ac:dyDescent="0.25">
      <c r="A271">
        <v>1989</v>
      </c>
      <c r="B271" t="s">
        <v>951</v>
      </c>
      <c r="C271">
        <v>48108</v>
      </c>
      <c r="D271" t="s">
        <v>17</v>
      </c>
      <c r="E271">
        <v>2</v>
      </c>
      <c r="F271" t="s">
        <v>17</v>
      </c>
      <c r="G271">
        <v>2</v>
      </c>
    </row>
    <row r="272" spans="1:7" x14ac:dyDescent="0.25">
      <c r="A272">
        <v>1985</v>
      </c>
      <c r="B272" t="s">
        <v>953</v>
      </c>
      <c r="C272">
        <v>48176</v>
      </c>
      <c r="D272" t="s">
        <v>16</v>
      </c>
      <c r="E272">
        <v>1</v>
      </c>
      <c r="F272" t="s">
        <v>16</v>
      </c>
      <c r="G272">
        <v>1</v>
      </c>
    </row>
    <row r="273" spans="1:7" x14ac:dyDescent="0.25">
      <c r="A273">
        <v>1984</v>
      </c>
      <c r="B273" t="s">
        <v>951</v>
      </c>
      <c r="C273">
        <v>48197</v>
      </c>
      <c r="D273" t="s">
        <v>17</v>
      </c>
      <c r="E273">
        <v>2</v>
      </c>
      <c r="F273" t="s">
        <v>17</v>
      </c>
      <c r="G273">
        <v>2</v>
      </c>
    </row>
    <row r="274" spans="1:7" x14ac:dyDescent="0.25">
      <c r="A274">
        <v>1984</v>
      </c>
      <c r="B274" t="s">
        <v>953</v>
      </c>
      <c r="C274">
        <v>49201</v>
      </c>
      <c r="D274" t="s">
        <v>16</v>
      </c>
      <c r="E274">
        <v>1</v>
      </c>
      <c r="F274" t="s">
        <v>16</v>
      </c>
      <c r="G274">
        <v>1</v>
      </c>
    </row>
    <row r="275" spans="1:7" x14ac:dyDescent="0.25">
      <c r="A275">
        <v>1986</v>
      </c>
      <c r="B275" t="s">
        <v>951</v>
      </c>
      <c r="C275">
        <v>48176</v>
      </c>
      <c r="D275" t="s">
        <v>18</v>
      </c>
      <c r="E275">
        <v>3</v>
      </c>
      <c r="F275" t="s">
        <v>18</v>
      </c>
      <c r="G275">
        <v>3</v>
      </c>
    </row>
    <row r="276" spans="1:7" x14ac:dyDescent="0.25">
      <c r="A276">
        <v>1959</v>
      </c>
      <c r="B276" t="s">
        <v>951</v>
      </c>
      <c r="C276">
        <v>48176</v>
      </c>
      <c r="D276" t="s">
        <v>17</v>
      </c>
      <c r="E276">
        <v>2</v>
      </c>
      <c r="F276" t="s">
        <v>17</v>
      </c>
      <c r="G276">
        <v>2</v>
      </c>
    </row>
    <row r="277" spans="1:7" x14ac:dyDescent="0.25">
      <c r="A277">
        <v>1988</v>
      </c>
      <c r="B277" t="s">
        <v>951</v>
      </c>
      <c r="C277">
        <v>48108</v>
      </c>
      <c r="D277" t="s">
        <v>18</v>
      </c>
      <c r="E277">
        <v>4</v>
      </c>
      <c r="F277" t="s">
        <v>18</v>
      </c>
      <c r="G277">
        <v>4</v>
      </c>
    </row>
    <row r="278" spans="1:7" x14ac:dyDescent="0.25">
      <c r="A278">
        <v>1990</v>
      </c>
      <c r="B278" t="s">
        <v>951</v>
      </c>
      <c r="C278">
        <v>48374</v>
      </c>
      <c r="D278" t="s">
        <v>16</v>
      </c>
      <c r="E278">
        <v>1</v>
      </c>
      <c r="F278" t="s">
        <v>16</v>
      </c>
      <c r="G278">
        <v>1</v>
      </c>
    </row>
    <row r="279" spans="1:7" x14ac:dyDescent="0.25">
      <c r="A279">
        <v>1967</v>
      </c>
      <c r="B279" t="s">
        <v>951</v>
      </c>
      <c r="C279">
        <v>48103</v>
      </c>
      <c r="D279" t="s">
        <v>18</v>
      </c>
      <c r="E279">
        <v>3</v>
      </c>
      <c r="F279" t="s">
        <v>18</v>
      </c>
      <c r="G279">
        <v>3</v>
      </c>
    </row>
    <row r="280" spans="1:7" x14ac:dyDescent="0.25">
      <c r="A280">
        <v>1979</v>
      </c>
      <c r="B280" t="s">
        <v>953</v>
      </c>
      <c r="C280">
        <v>48170</v>
      </c>
      <c r="D280" t="s">
        <v>18</v>
      </c>
      <c r="E280">
        <v>4</v>
      </c>
      <c r="F280" t="s">
        <v>18</v>
      </c>
      <c r="G280">
        <v>4</v>
      </c>
    </row>
    <row r="281" spans="1:7" x14ac:dyDescent="0.25">
      <c r="A281">
        <v>1988</v>
      </c>
      <c r="B281" t="s">
        <v>951</v>
      </c>
      <c r="C281">
        <v>48176</v>
      </c>
      <c r="D281" t="s">
        <v>18</v>
      </c>
      <c r="E281">
        <v>4</v>
      </c>
      <c r="F281" t="s">
        <v>18</v>
      </c>
      <c r="G281">
        <v>4</v>
      </c>
    </row>
    <row r="282" spans="1:7" x14ac:dyDescent="0.25">
      <c r="A282">
        <v>1984</v>
      </c>
      <c r="B282" t="s">
        <v>951</v>
      </c>
      <c r="C282">
        <v>48176</v>
      </c>
      <c r="D282" t="s">
        <v>17</v>
      </c>
      <c r="E282">
        <v>2</v>
      </c>
      <c r="F282" t="s">
        <v>17</v>
      </c>
      <c r="G282">
        <v>2</v>
      </c>
    </row>
    <row r="283" spans="1:7" x14ac:dyDescent="0.25">
      <c r="A283">
        <v>1991</v>
      </c>
      <c r="B283" t="s">
        <v>951</v>
      </c>
      <c r="C283">
        <v>43560</v>
      </c>
      <c r="D283" t="s">
        <v>17</v>
      </c>
      <c r="E283">
        <v>2</v>
      </c>
      <c r="F283" t="s">
        <v>17</v>
      </c>
      <c r="G283">
        <v>2</v>
      </c>
    </row>
    <row r="284" spans="1:7" x14ac:dyDescent="0.25">
      <c r="A284">
        <v>1991</v>
      </c>
      <c r="B284" t="s">
        <v>951</v>
      </c>
      <c r="C284">
        <v>48108</v>
      </c>
      <c r="D284" t="s">
        <v>16</v>
      </c>
      <c r="E284">
        <v>1</v>
      </c>
      <c r="F284" t="s">
        <v>16</v>
      </c>
      <c r="G284">
        <v>1</v>
      </c>
    </row>
    <row r="285" spans="1:7" x14ac:dyDescent="0.25">
      <c r="A285">
        <v>1989</v>
      </c>
      <c r="B285" t="s">
        <v>951</v>
      </c>
      <c r="C285">
        <v>48103</v>
      </c>
      <c r="D285" t="s">
        <v>16</v>
      </c>
      <c r="E285">
        <v>1</v>
      </c>
      <c r="F285" t="s">
        <v>16</v>
      </c>
      <c r="G285">
        <v>1</v>
      </c>
    </row>
    <row r="286" spans="1:7" x14ac:dyDescent="0.25">
      <c r="A286">
        <v>1977</v>
      </c>
      <c r="B286" t="s">
        <v>953</v>
      </c>
      <c r="C286">
        <v>48103</v>
      </c>
      <c r="D286" t="s">
        <v>18</v>
      </c>
      <c r="E286">
        <v>4</v>
      </c>
      <c r="F286" t="s">
        <v>18</v>
      </c>
      <c r="G286">
        <v>4</v>
      </c>
    </row>
    <row r="287" spans="1:7" x14ac:dyDescent="0.25">
      <c r="A287">
        <v>1959</v>
      </c>
      <c r="B287" t="s">
        <v>951</v>
      </c>
      <c r="C287">
        <v>48198</v>
      </c>
      <c r="D287" t="s">
        <v>16</v>
      </c>
      <c r="E287">
        <v>1</v>
      </c>
      <c r="F287" t="s">
        <v>16</v>
      </c>
      <c r="G287">
        <v>1</v>
      </c>
    </row>
    <row r="288" spans="1:7" x14ac:dyDescent="0.25">
      <c r="A288">
        <v>1986</v>
      </c>
      <c r="B288" t="s">
        <v>951</v>
      </c>
      <c r="C288">
        <v>48111</v>
      </c>
      <c r="D288" t="s">
        <v>18</v>
      </c>
      <c r="E288">
        <v>3</v>
      </c>
      <c r="F288" t="s">
        <v>18</v>
      </c>
      <c r="G288">
        <v>3</v>
      </c>
    </row>
    <row r="289" spans="1:7" x14ac:dyDescent="0.25">
      <c r="A289">
        <v>1991</v>
      </c>
      <c r="B289" t="s">
        <v>951</v>
      </c>
      <c r="C289">
        <v>43560</v>
      </c>
      <c r="D289" t="s">
        <v>17</v>
      </c>
      <c r="E289">
        <v>2</v>
      </c>
      <c r="F289" t="s">
        <v>17</v>
      </c>
      <c r="G289">
        <v>2</v>
      </c>
    </row>
    <row r="290" spans="1:7" x14ac:dyDescent="0.25">
      <c r="A290">
        <v>1985</v>
      </c>
      <c r="B290" t="s">
        <v>951</v>
      </c>
      <c r="C290">
        <v>48197</v>
      </c>
      <c r="D290" t="s">
        <v>17</v>
      </c>
      <c r="E290">
        <v>2</v>
      </c>
      <c r="F290" t="s">
        <v>17</v>
      </c>
      <c r="G290">
        <v>2</v>
      </c>
    </row>
    <row r="291" spans="1:7" x14ac:dyDescent="0.25">
      <c r="A291">
        <v>1990</v>
      </c>
      <c r="B291" t="s">
        <v>951</v>
      </c>
      <c r="C291">
        <v>48197</v>
      </c>
      <c r="D291" t="s">
        <v>17</v>
      </c>
      <c r="E291">
        <v>2</v>
      </c>
      <c r="F291" t="s">
        <v>17</v>
      </c>
      <c r="G291">
        <v>2</v>
      </c>
    </row>
    <row r="292" spans="1:7" x14ac:dyDescent="0.25">
      <c r="A292">
        <v>1988</v>
      </c>
      <c r="B292" t="s">
        <v>953</v>
      </c>
      <c r="C292">
        <v>48108</v>
      </c>
      <c r="D292" t="s">
        <v>17</v>
      </c>
      <c r="E292">
        <v>2</v>
      </c>
      <c r="F292" t="s">
        <v>17</v>
      </c>
      <c r="G292">
        <v>2</v>
      </c>
    </row>
    <row r="293" spans="1:7" x14ac:dyDescent="0.25">
      <c r="A293">
        <v>1970</v>
      </c>
      <c r="B293" t="s">
        <v>951</v>
      </c>
      <c r="C293">
        <v>48176</v>
      </c>
      <c r="D293" t="s">
        <v>18</v>
      </c>
      <c r="E293">
        <v>4</v>
      </c>
      <c r="F293" t="s">
        <v>18</v>
      </c>
      <c r="G293">
        <v>4</v>
      </c>
    </row>
    <row r="294" spans="1:7" x14ac:dyDescent="0.25">
      <c r="A294">
        <v>1987</v>
      </c>
      <c r="B294" t="s">
        <v>951</v>
      </c>
      <c r="C294">
        <v>48111</v>
      </c>
      <c r="D294" t="s">
        <v>16</v>
      </c>
      <c r="E294">
        <v>1</v>
      </c>
      <c r="F294" t="s">
        <v>16</v>
      </c>
      <c r="G294">
        <v>1</v>
      </c>
    </row>
    <row r="295" spans="1:7" x14ac:dyDescent="0.25">
      <c r="A295">
        <v>1962</v>
      </c>
      <c r="B295" t="s">
        <v>951</v>
      </c>
      <c r="C295">
        <v>48197</v>
      </c>
      <c r="D295" t="s">
        <v>18</v>
      </c>
      <c r="E295">
        <v>3</v>
      </c>
      <c r="F295" t="s">
        <v>17</v>
      </c>
      <c r="G295">
        <v>2</v>
      </c>
    </row>
    <row r="296" spans="1:7" x14ac:dyDescent="0.25">
      <c r="A296">
        <v>1963</v>
      </c>
      <c r="B296" t="s">
        <v>951</v>
      </c>
      <c r="C296">
        <v>48103</v>
      </c>
      <c r="D296" t="s">
        <v>16</v>
      </c>
      <c r="E296">
        <v>1</v>
      </c>
      <c r="F296" t="s">
        <v>16</v>
      </c>
      <c r="G296">
        <v>1</v>
      </c>
    </row>
    <row r="297" spans="1:7" x14ac:dyDescent="0.25">
      <c r="A297">
        <v>1980</v>
      </c>
      <c r="B297" t="s">
        <v>951</v>
      </c>
      <c r="C297">
        <v>48176</v>
      </c>
      <c r="D297" t="s">
        <v>16</v>
      </c>
      <c r="E297">
        <v>1</v>
      </c>
      <c r="F297" t="s">
        <v>16</v>
      </c>
      <c r="G297">
        <v>1</v>
      </c>
    </row>
    <row r="298" spans="1:7" x14ac:dyDescent="0.25">
      <c r="A298">
        <v>1991</v>
      </c>
      <c r="B298" t="s">
        <v>951</v>
      </c>
      <c r="C298">
        <v>48197</v>
      </c>
      <c r="D298" t="s">
        <v>17</v>
      </c>
      <c r="E298">
        <v>2</v>
      </c>
      <c r="F298" t="s">
        <v>17</v>
      </c>
      <c r="G298">
        <v>2</v>
      </c>
    </row>
    <row r="299" spans="1:7" x14ac:dyDescent="0.25">
      <c r="A299">
        <v>1992</v>
      </c>
      <c r="B299" t="s">
        <v>951</v>
      </c>
      <c r="C299">
        <v>48176</v>
      </c>
      <c r="D299" t="s">
        <v>16</v>
      </c>
      <c r="E299">
        <v>1</v>
      </c>
      <c r="F299" t="s">
        <v>16</v>
      </c>
      <c r="G299">
        <v>1</v>
      </c>
    </row>
    <row r="300" spans="1:7" x14ac:dyDescent="0.25">
      <c r="A300">
        <v>1991</v>
      </c>
      <c r="B300" t="s">
        <v>951</v>
      </c>
      <c r="C300">
        <v>48374</v>
      </c>
      <c r="D300" t="s">
        <v>16</v>
      </c>
      <c r="E300">
        <v>1</v>
      </c>
      <c r="F300" t="s">
        <v>16</v>
      </c>
      <c r="G300">
        <v>1</v>
      </c>
    </row>
    <row r="301" spans="1:7" x14ac:dyDescent="0.25">
      <c r="A301">
        <v>1986</v>
      </c>
      <c r="B301" t="s">
        <v>953</v>
      </c>
      <c r="C301">
        <v>48176</v>
      </c>
      <c r="D301" t="s">
        <v>18</v>
      </c>
      <c r="E301">
        <v>4</v>
      </c>
      <c r="F301" t="s">
        <v>18</v>
      </c>
      <c r="G301">
        <v>4</v>
      </c>
    </row>
    <row r="302" spans="1:7" x14ac:dyDescent="0.25">
      <c r="A302">
        <v>1991</v>
      </c>
      <c r="B302" t="s">
        <v>951</v>
      </c>
      <c r="C302">
        <v>48103</v>
      </c>
      <c r="D302" t="s">
        <v>16</v>
      </c>
      <c r="E302">
        <v>1</v>
      </c>
      <c r="F302" t="s">
        <v>16</v>
      </c>
      <c r="G302">
        <v>1</v>
      </c>
    </row>
    <row r="303" spans="1:7" x14ac:dyDescent="0.25">
      <c r="A303">
        <v>1972</v>
      </c>
      <c r="B303" t="s">
        <v>951</v>
      </c>
      <c r="C303">
        <v>48118</v>
      </c>
      <c r="D303" t="s">
        <v>16</v>
      </c>
      <c r="E303">
        <v>1</v>
      </c>
      <c r="F303" t="s">
        <v>16</v>
      </c>
      <c r="G303">
        <v>1</v>
      </c>
    </row>
    <row r="304" spans="1:7" x14ac:dyDescent="0.25">
      <c r="A304">
        <v>1991</v>
      </c>
      <c r="B304" t="s">
        <v>951</v>
      </c>
      <c r="C304">
        <v>48197</v>
      </c>
      <c r="D304" t="s">
        <v>16</v>
      </c>
      <c r="E304">
        <v>1</v>
      </c>
      <c r="F304" t="s">
        <v>16</v>
      </c>
      <c r="G304">
        <v>1</v>
      </c>
    </row>
    <row r="305" spans="1:7" x14ac:dyDescent="0.25">
      <c r="A305">
        <v>1987</v>
      </c>
      <c r="B305" t="s">
        <v>951</v>
      </c>
      <c r="C305">
        <v>48103</v>
      </c>
      <c r="D305" t="s">
        <v>16</v>
      </c>
      <c r="E305">
        <v>1</v>
      </c>
      <c r="F305" t="s">
        <v>16</v>
      </c>
      <c r="G305">
        <v>1</v>
      </c>
    </row>
    <row r="306" spans="1:7" x14ac:dyDescent="0.25">
      <c r="A306">
        <v>1971</v>
      </c>
      <c r="B306" t="s">
        <v>951</v>
      </c>
      <c r="C306">
        <v>48176</v>
      </c>
      <c r="D306" t="s">
        <v>18</v>
      </c>
      <c r="E306">
        <v>4</v>
      </c>
      <c r="F306" t="s">
        <v>18</v>
      </c>
      <c r="G306">
        <v>4</v>
      </c>
    </row>
    <row r="307" spans="1:7" x14ac:dyDescent="0.25">
      <c r="A307">
        <v>1957</v>
      </c>
      <c r="B307" t="s">
        <v>951</v>
      </c>
      <c r="C307">
        <v>48176</v>
      </c>
      <c r="D307" t="s">
        <v>17</v>
      </c>
      <c r="E307">
        <v>2</v>
      </c>
      <c r="F307" t="s">
        <v>17</v>
      </c>
      <c r="G307">
        <v>2</v>
      </c>
    </row>
    <row r="308" spans="1:7" x14ac:dyDescent="0.25">
      <c r="A308">
        <v>1961</v>
      </c>
      <c r="B308" t="s">
        <v>951</v>
      </c>
      <c r="C308">
        <v>48176</v>
      </c>
      <c r="D308" t="s">
        <v>952</v>
      </c>
      <c r="E308">
        <v>0</v>
      </c>
      <c r="F308" t="s">
        <v>16</v>
      </c>
      <c r="G308">
        <v>1</v>
      </c>
    </row>
    <row r="309" spans="1:7" x14ac:dyDescent="0.25">
      <c r="A309">
        <v>1958</v>
      </c>
      <c r="B309" t="s">
        <v>951</v>
      </c>
      <c r="C309">
        <v>48176</v>
      </c>
      <c r="D309" t="s">
        <v>17</v>
      </c>
      <c r="E309">
        <v>2</v>
      </c>
      <c r="F309" t="s">
        <v>17</v>
      </c>
      <c r="G309">
        <v>2</v>
      </c>
    </row>
    <row r="310" spans="1:7" x14ac:dyDescent="0.25">
      <c r="A310">
        <v>1962</v>
      </c>
      <c r="B310" t="s">
        <v>951</v>
      </c>
      <c r="C310">
        <v>48176</v>
      </c>
      <c r="D310" t="s">
        <v>16</v>
      </c>
      <c r="E310">
        <v>1</v>
      </c>
      <c r="F310" t="s">
        <v>16</v>
      </c>
      <c r="G310">
        <v>1</v>
      </c>
    </row>
    <row r="311" spans="1:7" x14ac:dyDescent="0.25">
      <c r="A311">
        <v>1975</v>
      </c>
      <c r="B311" t="s">
        <v>951</v>
      </c>
      <c r="C311">
        <v>48176</v>
      </c>
      <c r="D311" t="s">
        <v>18</v>
      </c>
      <c r="E311">
        <v>5</v>
      </c>
      <c r="F311" t="s">
        <v>18</v>
      </c>
      <c r="G311">
        <v>5</v>
      </c>
    </row>
    <row r="312" spans="1:7" x14ac:dyDescent="0.25">
      <c r="A312">
        <v>1965</v>
      </c>
      <c r="B312" t="s">
        <v>951</v>
      </c>
      <c r="C312">
        <v>49286</v>
      </c>
      <c r="D312" t="s">
        <v>16</v>
      </c>
      <c r="E312">
        <v>1</v>
      </c>
      <c r="F312" t="s">
        <v>16</v>
      </c>
      <c r="G312">
        <v>1</v>
      </c>
    </row>
    <row r="313" spans="1:7" x14ac:dyDescent="0.25">
      <c r="A313">
        <v>1953</v>
      </c>
      <c r="B313" t="s">
        <v>951</v>
      </c>
      <c r="C313">
        <v>48176</v>
      </c>
      <c r="D313" t="s">
        <v>17</v>
      </c>
      <c r="E313">
        <v>2</v>
      </c>
      <c r="F313" t="s">
        <v>17</v>
      </c>
      <c r="G313">
        <v>2</v>
      </c>
    </row>
    <row r="314" spans="1:7" x14ac:dyDescent="0.25">
      <c r="A314">
        <v>1959</v>
      </c>
      <c r="B314" t="s">
        <v>951</v>
      </c>
      <c r="C314">
        <v>48176</v>
      </c>
      <c r="D314" t="s">
        <v>17</v>
      </c>
      <c r="E314">
        <v>2</v>
      </c>
      <c r="F314" t="s">
        <v>17</v>
      </c>
      <c r="G314">
        <v>2</v>
      </c>
    </row>
    <row r="315" spans="1:7" x14ac:dyDescent="0.25">
      <c r="A315">
        <v>1961</v>
      </c>
      <c r="B315" t="s">
        <v>951</v>
      </c>
      <c r="C315">
        <v>48176</v>
      </c>
      <c r="D315" t="s">
        <v>17</v>
      </c>
      <c r="E315">
        <v>2</v>
      </c>
      <c r="F315" t="s">
        <v>17</v>
      </c>
      <c r="G315">
        <v>2</v>
      </c>
    </row>
    <row r="316" spans="1:7" x14ac:dyDescent="0.25">
      <c r="A316">
        <v>1968</v>
      </c>
      <c r="B316" t="s">
        <v>951</v>
      </c>
      <c r="C316">
        <v>48176</v>
      </c>
      <c r="D316" t="s">
        <v>18</v>
      </c>
      <c r="E316">
        <v>3</v>
      </c>
      <c r="F316" t="s">
        <v>18</v>
      </c>
      <c r="G316">
        <v>3</v>
      </c>
    </row>
    <row r="317" spans="1:7" x14ac:dyDescent="0.25">
      <c r="A317">
        <v>1977</v>
      </c>
      <c r="B317" t="s">
        <v>953</v>
      </c>
      <c r="C317">
        <v>49236</v>
      </c>
      <c r="D317" t="s">
        <v>18</v>
      </c>
      <c r="E317">
        <v>3</v>
      </c>
      <c r="F317" t="s">
        <v>18</v>
      </c>
      <c r="G317">
        <v>3</v>
      </c>
    </row>
    <row r="318" spans="1:7" x14ac:dyDescent="0.25">
      <c r="A318">
        <v>1956</v>
      </c>
      <c r="B318" t="s">
        <v>951</v>
      </c>
      <c r="C318">
        <v>48176</v>
      </c>
      <c r="D318" t="s">
        <v>17</v>
      </c>
      <c r="E318">
        <v>2</v>
      </c>
      <c r="F318" t="s">
        <v>17</v>
      </c>
      <c r="G318">
        <v>2</v>
      </c>
    </row>
    <row r="319" spans="1:7" x14ac:dyDescent="0.25">
      <c r="A319">
        <v>1953</v>
      </c>
      <c r="B319" t="s">
        <v>953</v>
      </c>
      <c r="C319">
        <v>48176</v>
      </c>
      <c r="D319" t="s">
        <v>17</v>
      </c>
      <c r="E319">
        <v>2</v>
      </c>
      <c r="F319" t="s">
        <v>17</v>
      </c>
      <c r="G319">
        <v>2</v>
      </c>
    </row>
    <row r="320" spans="1:7" x14ac:dyDescent="0.25">
      <c r="A320">
        <v>1983</v>
      </c>
      <c r="B320" t="s">
        <v>951</v>
      </c>
      <c r="C320">
        <v>48160</v>
      </c>
      <c r="D320" t="s">
        <v>18</v>
      </c>
      <c r="E320">
        <v>3</v>
      </c>
      <c r="F320" t="s">
        <v>18</v>
      </c>
      <c r="G320">
        <v>3</v>
      </c>
    </row>
    <row r="321" spans="1:7" x14ac:dyDescent="0.25">
      <c r="A321">
        <v>1971</v>
      </c>
      <c r="B321" t="s">
        <v>953</v>
      </c>
      <c r="C321">
        <v>48108</v>
      </c>
      <c r="D321" t="s">
        <v>17</v>
      </c>
      <c r="E321">
        <v>2</v>
      </c>
      <c r="F321" t="s">
        <v>17</v>
      </c>
      <c r="G321">
        <v>2</v>
      </c>
    </row>
    <row r="322" spans="1:7" x14ac:dyDescent="0.25">
      <c r="A322">
        <v>1972</v>
      </c>
      <c r="B322" t="s">
        <v>951</v>
      </c>
      <c r="C322">
        <v>49236</v>
      </c>
      <c r="D322" t="s">
        <v>952</v>
      </c>
      <c r="E322">
        <v>0</v>
      </c>
      <c r="F322" t="s">
        <v>17</v>
      </c>
      <c r="G322">
        <v>2</v>
      </c>
    </row>
    <row r="323" spans="1:7" x14ac:dyDescent="0.25">
      <c r="A323">
        <v>1953</v>
      </c>
      <c r="B323" t="s">
        <v>953</v>
      </c>
      <c r="C323">
        <v>48176</v>
      </c>
      <c r="D323" t="s">
        <v>952</v>
      </c>
      <c r="E323">
        <v>0</v>
      </c>
      <c r="F323" t="s">
        <v>16</v>
      </c>
      <c r="G323">
        <v>1</v>
      </c>
    </row>
    <row r="324" spans="1:7" x14ac:dyDescent="0.25">
      <c r="A324">
        <v>1959</v>
      </c>
      <c r="B324" t="s">
        <v>953</v>
      </c>
      <c r="C324">
        <v>48176</v>
      </c>
      <c r="D324" t="s">
        <v>17</v>
      </c>
      <c r="E324">
        <v>2</v>
      </c>
      <c r="F324" t="s">
        <v>17</v>
      </c>
      <c r="G324">
        <v>2</v>
      </c>
    </row>
    <row r="325" spans="1:7" x14ac:dyDescent="0.25">
      <c r="A325">
        <v>1959</v>
      </c>
      <c r="B325" t="s">
        <v>951</v>
      </c>
      <c r="C325">
        <v>48176</v>
      </c>
      <c r="D325" t="s">
        <v>16</v>
      </c>
      <c r="E325">
        <v>1</v>
      </c>
      <c r="F325" t="s">
        <v>16</v>
      </c>
      <c r="G325">
        <v>1</v>
      </c>
    </row>
    <row r="326" spans="1:7" x14ac:dyDescent="0.25">
      <c r="A326">
        <v>1988</v>
      </c>
      <c r="B326" t="s">
        <v>953</v>
      </c>
      <c r="C326">
        <v>49240</v>
      </c>
      <c r="D326" t="s">
        <v>18</v>
      </c>
      <c r="E326">
        <v>3</v>
      </c>
      <c r="F326" t="s">
        <v>18</v>
      </c>
      <c r="G326">
        <v>3</v>
      </c>
    </row>
    <row r="327" spans="1:7" x14ac:dyDescent="0.25">
      <c r="A327">
        <v>1959</v>
      </c>
      <c r="B327" t="s">
        <v>951</v>
      </c>
      <c r="C327">
        <v>49253</v>
      </c>
      <c r="D327" t="s">
        <v>17</v>
      </c>
      <c r="E327">
        <v>2</v>
      </c>
      <c r="F327" t="s">
        <v>17</v>
      </c>
      <c r="G327">
        <v>2</v>
      </c>
    </row>
    <row r="328" spans="1:7" x14ac:dyDescent="0.25">
      <c r="A328">
        <v>1957</v>
      </c>
      <c r="B328" t="s">
        <v>953</v>
      </c>
      <c r="C328">
        <v>48176</v>
      </c>
      <c r="D328" t="s">
        <v>952</v>
      </c>
      <c r="E328">
        <v>0</v>
      </c>
      <c r="F328" t="s">
        <v>16</v>
      </c>
      <c r="G328">
        <v>1</v>
      </c>
    </row>
    <row r="329" spans="1:7" x14ac:dyDescent="0.25">
      <c r="A329">
        <v>1960</v>
      </c>
      <c r="B329" t="s">
        <v>951</v>
      </c>
      <c r="C329">
        <v>48176</v>
      </c>
      <c r="D329" t="s">
        <v>16</v>
      </c>
      <c r="E329">
        <v>1</v>
      </c>
      <c r="F329" t="s">
        <v>16</v>
      </c>
      <c r="G329">
        <v>1</v>
      </c>
    </row>
    <row r="330" spans="1:7" x14ac:dyDescent="0.25">
      <c r="A330">
        <v>1971</v>
      </c>
      <c r="B330" t="s">
        <v>953</v>
      </c>
      <c r="C330">
        <v>48176</v>
      </c>
      <c r="D330" t="s">
        <v>18</v>
      </c>
      <c r="E330">
        <v>5</v>
      </c>
      <c r="F330" t="s">
        <v>18</v>
      </c>
      <c r="G330">
        <v>5</v>
      </c>
    </row>
    <row r="331" spans="1:7" x14ac:dyDescent="0.25">
      <c r="A331">
        <v>1958</v>
      </c>
      <c r="B331" t="s">
        <v>951</v>
      </c>
      <c r="C331">
        <v>48176</v>
      </c>
      <c r="D331" t="s">
        <v>16</v>
      </c>
      <c r="E331">
        <v>1</v>
      </c>
      <c r="F331" t="s">
        <v>16</v>
      </c>
      <c r="G331">
        <v>1</v>
      </c>
    </row>
    <row r="332" spans="1:7" x14ac:dyDescent="0.25">
      <c r="A332">
        <v>1966</v>
      </c>
      <c r="B332" t="s">
        <v>953</v>
      </c>
      <c r="C332">
        <v>49236</v>
      </c>
      <c r="D332" t="s">
        <v>16</v>
      </c>
      <c r="E332">
        <v>1</v>
      </c>
      <c r="F332" t="s">
        <v>16</v>
      </c>
      <c r="G332">
        <v>1</v>
      </c>
    </row>
    <row r="333" spans="1:7" x14ac:dyDescent="0.25">
      <c r="A333">
        <v>1960</v>
      </c>
      <c r="B333" t="s">
        <v>951</v>
      </c>
      <c r="C333">
        <v>48176</v>
      </c>
      <c r="D333" t="s">
        <v>952</v>
      </c>
      <c r="E333">
        <v>0</v>
      </c>
      <c r="F333" t="s">
        <v>16</v>
      </c>
      <c r="G333">
        <v>1</v>
      </c>
    </row>
    <row r="334" spans="1:7" x14ac:dyDescent="0.25">
      <c r="A334">
        <v>1961</v>
      </c>
      <c r="B334" t="s">
        <v>951</v>
      </c>
      <c r="C334">
        <v>48176</v>
      </c>
      <c r="D334" t="s">
        <v>952</v>
      </c>
      <c r="E334">
        <v>0</v>
      </c>
      <c r="F334" t="s">
        <v>17</v>
      </c>
      <c r="G334">
        <v>2</v>
      </c>
    </row>
    <row r="335" spans="1:7" x14ac:dyDescent="0.25">
      <c r="A335">
        <v>1967</v>
      </c>
      <c r="B335" t="s">
        <v>951</v>
      </c>
      <c r="C335">
        <v>48176</v>
      </c>
      <c r="D335" t="s">
        <v>16</v>
      </c>
      <c r="E335">
        <v>1</v>
      </c>
      <c r="F335" t="s">
        <v>16</v>
      </c>
      <c r="G335">
        <v>1</v>
      </c>
    </row>
    <row r="336" spans="1:7" x14ac:dyDescent="0.25">
      <c r="A336">
        <v>1975</v>
      </c>
      <c r="B336" t="s">
        <v>951</v>
      </c>
      <c r="C336">
        <v>48176</v>
      </c>
      <c r="D336" t="s">
        <v>17</v>
      </c>
      <c r="E336">
        <v>2</v>
      </c>
      <c r="F336" t="s">
        <v>17</v>
      </c>
      <c r="G336">
        <v>2</v>
      </c>
    </row>
    <row r="337" spans="1:7" x14ac:dyDescent="0.25">
      <c r="A337">
        <v>1960</v>
      </c>
      <c r="B337" t="s">
        <v>951</v>
      </c>
      <c r="C337">
        <v>48176</v>
      </c>
      <c r="D337" t="s">
        <v>17</v>
      </c>
      <c r="E337">
        <v>2</v>
      </c>
      <c r="F337" t="s">
        <v>17</v>
      </c>
      <c r="G337">
        <v>2</v>
      </c>
    </row>
    <row r="338" spans="1:7" x14ac:dyDescent="0.25">
      <c r="A338">
        <v>1963</v>
      </c>
      <c r="B338" t="s">
        <v>953</v>
      </c>
      <c r="C338">
        <v>49229</v>
      </c>
      <c r="D338" t="s">
        <v>17</v>
      </c>
      <c r="E338">
        <v>2</v>
      </c>
      <c r="F338" t="s">
        <v>17</v>
      </c>
      <c r="G338">
        <v>2</v>
      </c>
    </row>
    <row r="339" spans="1:7" x14ac:dyDescent="0.25">
      <c r="A339">
        <v>1962</v>
      </c>
      <c r="B339" t="s">
        <v>951</v>
      </c>
      <c r="C339">
        <v>48176</v>
      </c>
      <c r="D339" t="s">
        <v>18</v>
      </c>
      <c r="E339">
        <v>3</v>
      </c>
      <c r="F339" t="s">
        <v>18</v>
      </c>
      <c r="G339">
        <v>3</v>
      </c>
    </row>
    <row r="340" spans="1:7" x14ac:dyDescent="0.25">
      <c r="A340">
        <v>1973</v>
      </c>
      <c r="B340" t="s">
        <v>953</v>
      </c>
      <c r="C340">
        <v>48176</v>
      </c>
      <c r="D340" t="s">
        <v>16</v>
      </c>
      <c r="E340">
        <v>1</v>
      </c>
      <c r="F340" t="s">
        <v>16</v>
      </c>
      <c r="G340">
        <v>1</v>
      </c>
    </row>
    <row r="341" spans="1:7" x14ac:dyDescent="0.25">
      <c r="A341">
        <v>1961</v>
      </c>
      <c r="B341" t="s">
        <v>951</v>
      </c>
      <c r="C341">
        <v>48108</v>
      </c>
      <c r="D341" t="s">
        <v>17</v>
      </c>
      <c r="E341">
        <v>2</v>
      </c>
      <c r="F341" t="s">
        <v>17</v>
      </c>
      <c r="G341">
        <v>2</v>
      </c>
    </row>
    <row r="342" spans="1:7" x14ac:dyDescent="0.25">
      <c r="A342">
        <v>1969</v>
      </c>
      <c r="B342" t="s">
        <v>953</v>
      </c>
      <c r="C342">
        <v>48176</v>
      </c>
      <c r="D342" t="s">
        <v>18</v>
      </c>
      <c r="E342">
        <v>4</v>
      </c>
      <c r="F342" t="s">
        <v>18</v>
      </c>
      <c r="G342">
        <v>4</v>
      </c>
    </row>
    <row r="343" spans="1:7" x14ac:dyDescent="0.25">
      <c r="A343">
        <v>1969</v>
      </c>
      <c r="B343" t="s">
        <v>953</v>
      </c>
      <c r="C343">
        <v>49286</v>
      </c>
      <c r="D343" t="s">
        <v>17</v>
      </c>
      <c r="E343">
        <v>2</v>
      </c>
      <c r="F343" t="s">
        <v>17</v>
      </c>
      <c r="G343">
        <v>2</v>
      </c>
    </row>
    <row r="344" spans="1:7" x14ac:dyDescent="0.25">
      <c r="A344">
        <v>1990</v>
      </c>
      <c r="B344" t="s">
        <v>951</v>
      </c>
      <c r="C344">
        <v>48108</v>
      </c>
      <c r="D344" t="s">
        <v>18</v>
      </c>
      <c r="E344">
        <v>3</v>
      </c>
      <c r="F344" t="s">
        <v>18</v>
      </c>
      <c r="G344">
        <v>3</v>
      </c>
    </row>
    <row r="345" spans="1:7" x14ac:dyDescent="0.25">
      <c r="A345">
        <v>1951</v>
      </c>
      <c r="B345" t="s">
        <v>951</v>
      </c>
      <c r="C345">
        <v>48176</v>
      </c>
      <c r="D345" t="s">
        <v>17</v>
      </c>
      <c r="E345">
        <v>2</v>
      </c>
      <c r="F345" t="s">
        <v>17</v>
      </c>
      <c r="G345">
        <v>2</v>
      </c>
    </row>
    <row r="346" spans="1:7" x14ac:dyDescent="0.25">
      <c r="A346">
        <v>1968</v>
      </c>
      <c r="B346" t="s">
        <v>951</v>
      </c>
      <c r="C346">
        <v>48176</v>
      </c>
      <c r="D346" t="s">
        <v>17</v>
      </c>
      <c r="E346">
        <v>2</v>
      </c>
      <c r="F346" t="s">
        <v>17</v>
      </c>
      <c r="G346">
        <v>2</v>
      </c>
    </row>
    <row r="347" spans="1:7" x14ac:dyDescent="0.25">
      <c r="A347">
        <v>1958</v>
      </c>
      <c r="B347" t="s">
        <v>953</v>
      </c>
      <c r="C347">
        <v>48176</v>
      </c>
      <c r="D347" t="s">
        <v>952</v>
      </c>
      <c r="E347">
        <v>0</v>
      </c>
      <c r="F347" t="s">
        <v>17</v>
      </c>
      <c r="G347">
        <v>2</v>
      </c>
    </row>
    <row r="348" spans="1:7" x14ac:dyDescent="0.25">
      <c r="A348">
        <v>1965</v>
      </c>
      <c r="B348" t="s">
        <v>953</v>
      </c>
      <c r="C348">
        <v>48176</v>
      </c>
      <c r="D348" t="s">
        <v>952</v>
      </c>
      <c r="E348">
        <v>0</v>
      </c>
      <c r="F348" t="s">
        <v>16</v>
      </c>
      <c r="G348">
        <v>1</v>
      </c>
    </row>
    <row r="349" spans="1:7" x14ac:dyDescent="0.25">
      <c r="A349">
        <v>1971</v>
      </c>
      <c r="B349" t="s">
        <v>953</v>
      </c>
      <c r="C349">
        <v>48108</v>
      </c>
      <c r="D349" t="s">
        <v>18</v>
      </c>
      <c r="E349">
        <v>4</v>
      </c>
      <c r="F349" t="s">
        <v>18</v>
      </c>
      <c r="G349">
        <v>4</v>
      </c>
    </row>
    <row r="350" spans="1:7" x14ac:dyDescent="0.25">
      <c r="A350">
        <v>1974</v>
      </c>
      <c r="B350" t="s">
        <v>953</v>
      </c>
      <c r="C350">
        <v>48160</v>
      </c>
      <c r="D350" t="s">
        <v>16</v>
      </c>
      <c r="E350">
        <v>1</v>
      </c>
      <c r="F350" t="s">
        <v>16</v>
      </c>
      <c r="G350">
        <v>1</v>
      </c>
    </row>
    <row r="351" spans="1:7" x14ac:dyDescent="0.25">
      <c r="A351">
        <v>1975</v>
      </c>
      <c r="B351" t="s">
        <v>953</v>
      </c>
      <c r="C351">
        <v>49287</v>
      </c>
      <c r="D351" t="s">
        <v>18</v>
      </c>
      <c r="E351">
        <v>5</v>
      </c>
      <c r="F351" t="s">
        <v>18</v>
      </c>
      <c r="G351">
        <v>5</v>
      </c>
    </row>
    <row r="352" spans="1:7" x14ac:dyDescent="0.25">
      <c r="A352">
        <v>1961</v>
      </c>
      <c r="B352" t="s">
        <v>951</v>
      </c>
      <c r="C352">
        <v>48108</v>
      </c>
      <c r="D352" t="s">
        <v>952</v>
      </c>
      <c r="E352">
        <v>0</v>
      </c>
      <c r="F352" t="s">
        <v>16</v>
      </c>
      <c r="G352">
        <v>1</v>
      </c>
    </row>
    <row r="353" spans="1:7" x14ac:dyDescent="0.25">
      <c r="A353">
        <v>1961</v>
      </c>
      <c r="B353" t="s">
        <v>951</v>
      </c>
      <c r="C353">
        <v>48108</v>
      </c>
      <c r="D353" t="s">
        <v>17</v>
      </c>
      <c r="E353">
        <v>2</v>
      </c>
      <c r="F353" t="s">
        <v>17</v>
      </c>
      <c r="G353">
        <v>2</v>
      </c>
    </row>
    <row r="354" spans="1:7" x14ac:dyDescent="0.25">
      <c r="A354">
        <v>1963</v>
      </c>
      <c r="B354" t="s">
        <v>951</v>
      </c>
      <c r="C354">
        <v>49236</v>
      </c>
      <c r="D354" t="s">
        <v>952</v>
      </c>
      <c r="E354">
        <v>0</v>
      </c>
      <c r="F354" t="s">
        <v>16</v>
      </c>
      <c r="G354">
        <v>1</v>
      </c>
    </row>
    <row r="355" spans="1:7" x14ac:dyDescent="0.25">
      <c r="A355">
        <v>1963</v>
      </c>
      <c r="B355" t="s">
        <v>951</v>
      </c>
      <c r="C355">
        <v>48160</v>
      </c>
      <c r="D355" t="s">
        <v>952</v>
      </c>
      <c r="E355">
        <v>0</v>
      </c>
      <c r="F355" t="s">
        <v>16</v>
      </c>
      <c r="G355">
        <v>1</v>
      </c>
    </row>
    <row r="356" spans="1:7" x14ac:dyDescent="0.25">
      <c r="A356">
        <v>1964</v>
      </c>
      <c r="B356" t="s">
        <v>951</v>
      </c>
      <c r="C356">
        <v>48169</v>
      </c>
      <c r="D356" t="s">
        <v>952</v>
      </c>
      <c r="E356">
        <v>0</v>
      </c>
      <c r="F356" t="s">
        <v>16</v>
      </c>
      <c r="G356">
        <v>1</v>
      </c>
    </row>
    <row r="357" spans="1:7" x14ac:dyDescent="0.25">
      <c r="A357">
        <v>1976</v>
      </c>
      <c r="B357" t="s">
        <v>951</v>
      </c>
      <c r="C357">
        <v>48176</v>
      </c>
      <c r="D357" t="s">
        <v>18</v>
      </c>
      <c r="E357">
        <v>4</v>
      </c>
      <c r="F357" t="s">
        <v>18</v>
      </c>
      <c r="G357">
        <v>4</v>
      </c>
    </row>
    <row r="358" spans="1:7" x14ac:dyDescent="0.25">
      <c r="A358">
        <v>1959</v>
      </c>
      <c r="B358" t="s">
        <v>951</v>
      </c>
      <c r="C358">
        <v>48176</v>
      </c>
      <c r="D358" t="s">
        <v>17</v>
      </c>
      <c r="E358">
        <v>2</v>
      </c>
      <c r="F358" t="s">
        <v>17</v>
      </c>
      <c r="G358">
        <v>2</v>
      </c>
    </row>
    <row r="359" spans="1:7" x14ac:dyDescent="0.25">
      <c r="A359">
        <v>1957</v>
      </c>
      <c r="B359" t="s">
        <v>951</v>
      </c>
      <c r="C359">
        <v>48108</v>
      </c>
      <c r="D359" t="s">
        <v>18</v>
      </c>
      <c r="E359">
        <v>3</v>
      </c>
      <c r="F359" t="s">
        <v>18</v>
      </c>
      <c r="G359">
        <v>3</v>
      </c>
    </row>
    <row r="360" spans="1:7" x14ac:dyDescent="0.25">
      <c r="A360">
        <v>1986</v>
      </c>
      <c r="B360" t="s">
        <v>951</v>
      </c>
      <c r="C360">
        <v>48176</v>
      </c>
      <c r="D360" t="s">
        <v>952</v>
      </c>
      <c r="E360">
        <v>0</v>
      </c>
      <c r="F360" t="s">
        <v>16</v>
      </c>
      <c r="G360">
        <v>1</v>
      </c>
    </row>
    <row r="361" spans="1:7" x14ac:dyDescent="0.25">
      <c r="A361">
        <v>1983</v>
      </c>
      <c r="B361" t="s">
        <v>953</v>
      </c>
      <c r="C361">
        <v>48176</v>
      </c>
      <c r="D361" t="s">
        <v>16</v>
      </c>
      <c r="E361">
        <v>1</v>
      </c>
      <c r="F361" t="s">
        <v>16</v>
      </c>
      <c r="G361">
        <v>1</v>
      </c>
    </row>
    <row r="362" spans="1:7" x14ac:dyDescent="0.25">
      <c r="A362">
        <v>1953</v>
      </c>
      <c r="B362" t="s">
        <v>951</v>
      </c>
      <c r="C362">
        <v>48176</v>
      </c>
      <c r="D362" t="s">
        <v>16</v>
      </c>
      <c r="E362">
        <v>1</v>
      </c>
      <c r="F362" t="s">
        <v>16</v>
      </c>
      <c r="G362">
        <v>1</v>
      </c>
    </row>
    <row r="363" spans="1:7" x14ac:dyDescent="0.25">
      <c r="A363">
        <v>1967</v>
      </c>
      <c r="B363" t="s">
        <v>951</v>
      </c>
      <c r="C363">
        <v>48108</v>
      </c>
      <c r="D363" t="s">
        <v>18</v>
      </c>
      <c r="E363">
        <v>3</v>
      </c>
      <c r="F363" t="s">
        <v>18</v>
      </c>
      <c r="G363">
        <v>3</v>
      </c>
    </row>
    <row r="364" spans="1:7" x14ac:dyDescent="0.25">
      <c r="A364">
        <v>1957</v>
      </c>
      <c r="B364" t="s">
        <v>951</v>
      </c>
      <c r="C364">
        <v>48198</v>
      </c>
      <c r="D364" t="s">
        <v>16</v>
      </c>
      <c r="E364">
        <v>1</v>
      </c>
      <c r="F364" t="s">
        <v>16</v>
      </c>
      <c r="G364">
        <v>1</v>
      </c>
    </row>
    <row r="365" spans="1:7" x14ac:dyDescent="0.25">
      <c r="A365">
        <v>1959</v>
      </c>
      <c r="B365" t="s">
        <v>951</v>
      </c>
      <c r="C365">
        <v>48108</v>
      </c>
      <c r="D365" t="s">
        <v>18</v>
      </c>
      <c r="E365">
        <v>3</v>
      </c>
      <c r="F365" t="s">
        <v>18</v>
      </c>
      <c r="G365">
        <v>3</v>
      </c>
    </row>
    <row r="366" spans="1:7" x14ac:dyDescent="0.25">
      <c r="A366">
        <v>1963</v>
      </c>
      <c r="B366" t="s">
        <v>951</v>
      </c>
      <c r="C366">
        <v>48108</v>
      </c>
      <c r="D366" t="s">
        <v>952</v>
      </c>
      <c r="E366">
        <v>0</v>
      </c>
      <c r="F366" t="s">
        <v>16</v>
      </c>
      <c r="G366">
        <v>1</v>
      </c>
    </row>
    <row r="367" spans="1:7" x14ac:dyDescent="0.25">
      <c r="A367">
        <v>1963</v>
      </c>
      <c r="B367" t="s">
        <v>951</v>
      </c>
      <c r="C367">
        <v>48108</v>
      </c>
      <c r="D367" t="s">
        <v>16</v>
      </c>
      <c r="E367">
        <v>1</v>
      </c>
      <c r="F367" t="s">
        <v>16</v>
      </c>
      <c r="G367">
        <v>1</v>
      </c>
    </row>
    <row r="368" spans="1:7" x14ac:dyDescent="0.25">
      <c r="A368">
        <v>1958</v>
      </c>
      <c r="B368" t="s">
        <v>951</v>
      </c>
      <c r="C368">
        <v>48176</v>
      </c>
      <c r="D368" t="s">
        <v>17</v>
      </c>
      <c r="E368">
        <v>2</v>
      </c>
      <c r="F368" t="s">
        <v>17</v>
      </c>
      <c r="G368">
        <v>2</v>
      </c>
    </row>
    <row r="369" spans="1:7" x14ac:dyDescent="0.25">
      <c r="A369">
        <v>1958</v>
      </c>
      <c r="B369" t="s">
        <v>951</v>
      </c>
      <c r="C369">
        <v>48176</v>
      </c>
      <c r="D369" t="s">
        <v>17</v>
      </c>
      <c r="E369">
        <v>2</v>
      </c>
      <c r="F369" t="s">
        <v>17</v>
      </c>
      <c r="G369">
        <v>2</v>
      </c>
    </row>
    <row r="370" spans="1:7" x14ac:dyDescent="0.25">
      <c r="A370">
        <v>1959</v>
      </c>
      <c r="B370" t="s">
        <v>951</v>
      </c>
      <c r="C370">
        <v>48176</v>
      </c>
      <c r="D370" t="s">
        <v>17</v>
      </c>
      <c r="E370">
        <v>2</v>
      </c>
      <c r="F370" t="s">
        <v>17</v>
      </c>
      <c r="G370">
        <v>2</v>
      </c>
    </row>
    <row r="371" spans="1:7" x14ac:dyDescent="0.25">
      <c r="A371">
        <v>1959</v>
      </c>
      <c r="B371" t="s">
        <v>951</v>
      </c>
      <c r="C371">
        <v>48176</v>
      </c>
      <c r="D371" t="s">
        <v>952</v>
      </c>
      <c r="E371">
        <v>0</v>
      </c>
      <c r="F371" t="s">
        <v>17</v>
      </c>
      <c r="G371">
        <v>2</v>
      </c>
    </row>
    <row r="372" spans="1:7" x14ac:dyDescent="0.25">
      <c r="A372">
        <v>1957</v>
      </c>
      <c r="B372" t="s">
        <v>951</v>
      </c>
      <c r="C372">
        <v>48176</v>
      </c>
      <c r="D372" t="s">
        <v>17</v>
      </c>
      <c r="E372">
        <v>2</v>
      </c>
      <c r="F372" t="s">
        <v>17</v>
      </c>
      <c r="G372">
        <v>2</v>
      </c>
    </row>
    <row r="373" spans="1:7" x14ac:dyDescent="0.25">
      <c r="A373">
        <v>1968</v>
      </c>
      <c r="B373" t="s">
        <v>951</v>
      </c>
      <c r="C373">
        <v>48176</v>
      </c>
      <c r="D373" t="s">
        <v>18</v>
      </c>
      <c r="E373">
        <v>3</v>
      </c>
      <c r="F373" t="s">
        <v>18</v>
      </c>
      <c r="G373">
        <v>3</v>
      </c>
    </row>
    <row r="374" spans="1:7" x14ac:dyDescent="0.25">
      <c r="A374">
        <v>1952</v>
      </c>
      <c r="B374" t="s">
        <v>951</v>
      </c>
      <c r="C374">
        <v>48103</v>
      </c>
      <c r="D374" t="s">
        <v>16</v>
      </c>
      <c r="E374">
        <v>1</v>
      </c>
      <c r="F374" t="s">
        <v>16</v>
      </c>
      <c r="G374">
        <v>1</v>
      </c>
    </row>
    <row r="375" spans="1:7" x14ac:dyDescent="0.25">
      <c r="A375">
        <v>1956</v>
      </c>
      <c r="B375" t="s">
        <v>951</v>
      </c>
      <c r="C375">
        <v>48176</v>
      </c>
      <c r="D375" t="s">
        <v>17</v>
      </c>
      <c r="E375">
        <v>2</v>
      </c>
      <c r="F375" t="s">
        <v>17</v>
      </c>
      <c r="G375">
        <v>2</v>
      </c>
    </row>
    <row r="376" spans="1:7" x14ac:dyDescent="0.25">
      <c r="A376">
        <v>1972</v>
      </c>
      <c r="B376" t="s">
        <v>951</v>
      </c>
      <c r="C376">
        <v>48176</v>
      </c>
      <c r="D376" t="s">
        <v>18</v>
      </c>
      <c r="E376">
        <v>4</v>
      </c>
      <c r="F376" t="s">
        <v>18</v>
      </c>
      <c r="G376">
        <v>4</v>
      </c>
    </row>
    <row r="377" spans="1:7" x14ac:dyDescent="0.25">
      <c r="A377">
        <v>1964</v>
      </c>
      <c r="B377" t="s">
        <v>953</v>
      </c>
      <c r="C377">
        <v>48182</v>
      </c>
      <c r="D377" t="s">
        <v>16</v>
      </c>
      <c r="E377">
        <v>1</v>
      </c>
      <c r="F377" t="s">
        <v>16</v>
      </c>
      <c r="G377">
        <v>1</v>
      </c>
    </row>
    <row r="378" spans="1:7" x14ac:dyDescent="0.25">
      <c r="A378">
        <v>1963</v>
      </c>
      <c r="B378" t="s">
        <v>951</v>
      </c>
      <c r="C378">
        <v>48176</v>
      </c>
      <c r="D378" t="s">
        <v>952</v>
      </c>
      <c r="E378">
        <v>0</v>
      </c>
      <c r="F378" t="s">
        <v>16</v>
      </c>
      <c r="G378">
        <v>1</v>
      </c>
    </row>
    <row r="379" spans="1:7" x14ac:dyDescent="0.25">
      <c r="A379">
        <v>1969</v>
      </c>
      <c r="B379" t="s">
        <v>951</v>
      </c>
      <c r="C379">
        <v>48176</v>
      </c>
      <c r="D379" t="s">
        <v>18</v>
      </c>
      <c r="E379">
        <v>3</v>
      </c>
      <c r="F379" t="s">
        <v>18</v>
      </c>
      <c r="G379">
        <v>3</v>
      </c>
    </row>
    <row r="380" spans="1:7" x14ac:dyDescent="0.25">
      <c r="A380">
        <v>1969</v>
      </c>
      <c r="B380" t="s">
        <v>951</v>
      </c>
      <c r="C380">
        <v>49236</v>
      </c>
      <c r="D380" t="s">
        <v>18</v>
      </c>
      <c r="E380">
        <v>3</v>
      </c>
      <c r="F380" t="s">
        <v>18</v>
      </c>
      <c r="G380">
        <v>3</v>
      </c>
    </row>
    <row r="381" spans="1:7" x14ac:dyDescent="0.25">
      <c r="A381">
        <v>1954</v>
      </c>
      <c r="B381" t="s">
        <v>951</v>
      </c>
      <c r="C381">
        <v>48176</v>
      </c>
      <c r="D381" t="s">
        <v>16</v>
      </c>
      <c r="E381">
        <v>1</v>
      </c>
      <c r="F381" t="s">
        <v>16</v>
      </c>
      <c r="G381">
        <v>1</v>
      </c>
    </row>
    <row r="382" spans="1:7" x14ac:dyDescent="0.25">
      <c r="A382">
        <v>1968</v>
      </c>
      <c r="B382" t="s">
        <v>951</v>
      </c>
      <c r="C382">
        <v>48176</v>
      </c>
      <c r="D382" t="s">
        <v>18</v>
      </c>
      <c r="E382">
        <v>4</v>
      </c>
      <c r="F382" t="s">
        <v>18</v>
      </c>
      <c r="G382">
        <v>4</v>
      </c>
    </row>
    <row r="383" spans="1:7" x14ac:dyDescent="0.25">
      <c r="A383">
        <v>1971</v>
      </c>
      <c r="B383" t="s">
        <v>953</v>
      </c>
      <c r="C383">
        <v>49286</v>
      </c>
      <c r="D383" t="s">
        <v>952</v>
      </c>
      <c r="E383">
        <v>0</v>
      </c>
      <c r="F383" t="s">
        <v>16</v>
      </c>
      <c r="G383">
        <v>1</v>
      </c>
    </row>
    <row r="384" spans="1:7" x14ac:dyDescent="0.25">
      <c r="A384">
        <v>1964</v>
      </c>
      <c r="B384" t="s">
        <v>951</v>
      </c>
      <c r="C384">
        <v>48160</v>
      </c>
      <c r="D384" t="s">
        <v>952</v>
      </c>
      <c r="E384">
        <v>0</v>
      </c>
      <c r="F384" t="s">
        <v>16</v>
      </c>
      <c r="G384">
        <v>1</v>
      </c>
    </row>
    <row r="385" spans="1:7" x14ac:dyDescent="0.25">
      <c r="A385">
        <v>1964</v>
      </c>
      <c r="B385" t="s">
        <v>951</v>
      </c>
      <c r="C385">
        <v>48103</v>
      </c>
      <c r="D385" t="s">
        <v>18</v>
      </c>
      <c r="E385">
        <v>4</v>
      </c>
      <c r="F385" t="s">
        <v>18</v>
      </c>
      <c r="G385">
        <v>3</v>
      </c>
    </row>
    <row r="386" spans="1:7" x14ac:dyDescent="0.25">
      <c r="A386">
        <v>1953</v>
      </c>
      <c r="B386" t="s">
        <v>953</v>
      </c>
      <c r="C386">
        <v>48176</v>
      </c>
      <c r="D386" t="s">
        <v>17</v>
      </c>
      <c r="E386">
        <v>2</v>
      </c>
      <c r="F386" t="s">
        <v>17</v>
      </c>
      <c r="G386">
        <v>2</v>
      </c>
    </row>
    <row r="387" spans="1:7" x14ac:dyDescent="0.25">
      <c r="A387">
        <v>1967</v>
      </c>
      <c r="B387" t="s">
        <v>953</v>
      </c>
      <c r="C387">
        <v>48176</v>
      </c>
      <c r="D387" t="s">
        <v>18</v>
      </c>
      <c r="E387">
        <v>4</v>
      </c>
      <c r="F387" t="s">
        <v>18</v>
      </c>
      <c r="G387">
        <v>4</v>
      </c>
    </row>
    <row r="388" spans="1:7" x14ac:dyDescent="0.25">
      <c r="A388">
        <v>1960</v>
      </c>
      <c r="B388" t="s">
        <v>951</v>
      </c>
      <c r="C388">
        <v>48176</v>
      </c>
      <c r="D388" t="s">
        <v>17</v>
      </c>
      <c r="E388">
        <v>2</v>
      </c>
      <c r="F388" t="s">
        <v>17</v>
      </c>
      <c r="G388">
        <v>2</v>
      </c>
    </row>
    <row r="389" spans="1:7" x14ac:dyDescent="0.25">
      <c r="A389">
        <v>1964</v>
      </c>
      <c r="B389" t="s">
        <v>951</v>
      </c>
      <c r="C389">
        <v>49286</v>
      </c>
      <c r="D389" t="s">
        <v>17</v>
      </c>
      <c r="E389">
        <v>2</v>
      </c>
      <c r="F389" t="s">
        <v>17</v>
      </c>
      <c r="G389">
        <v>2</v>
      </c>
    </row>
    <row r="390" spans="1:7" x14ac:dyDescent="0.25">
      <c r="A390">
        <v>1961</v>
      </c>
      <c r="B390" t="s">
        <v>951</v>
      </c>
      <c r="C390">
        <v>48176</v>
      </c>
      <c r="D390" t="s">
        <v>17</v>
      </c>
      <c r="E390">
        <v>2</v>
      </c>
      <c r="F390" t="s">
        <v>17</v>
      </c>
      <c r="G390">
        <v>2</v>
      </c>
    </row>
    <row r="391" spans="1:7" x14ac:dyDescent="0.25">
      <c r="A391">
        <v>1960</v>
      </c>
      <c r="B391" t="s">
        <v>953</v>
      </c>
      <c r="C391">
        <v>49307</v>
      </c>
      <c r="D391" t="s">
        <v>16</v>
      </c>
      <c r="E391">
        <v>1</v>
      </c>
      <c r="F391" t="s">
        <v>16</v>
      </c>
      <c r="G391">
        <v>1</v>
      </c>
    </row>
    <row r="392" spans="1:7" x14ac:dyDescent="0.25">
      <c r="A392">
        <v>1960</v>
      </c>
      <c r="B392" t="s">
        <v>951</v>
      </c>
      <c r="C392">
        <v>48176</v>
      </c>
      <c r="D392" t="s">
        <v>17</v>
      </c>
      <c r="E392">
        <v>2</v>
      </c>
      <c r="F392" t="s">
        <v>17</v>
      </c>
      <c r="G392">
        <v>2</v>
      </c>
    </row>
    <row r="393" spans="1:7" x14ac:dyDescent="0.25">
      <c r="A393">
        <v>1975</v>
      </c>
      <c r="B393" t="s">
        <v>953</v>
      </c>
      <c r="C393">
        <v>48176</v>
      </c>
      <c r="D393" t="s">
        <v>18</v>
      </c>
      <c r="E393">
        <v>3</v>
      </c>
      <c r="F393" t="s">
        <v>18</v>
      </c>
      <c r="G393">
        <v>3</v>
      </c>
    </row>
    <row r="394" spans="1:7" x14ac:dyDescent="0.25">
      <c r="A394">
        <v>1971</v>
      </c>
      <c r="B394" t="s">
        <v>951</v>
      </c>
      <c r="C394">
        <v>48197</v>
      </c>
      <c r="D394" t="s">
        <v>18</v>
      </c>
      <c r="E394">
        <v>5</v>
      </c>
      <c r="F394" t="s">
        <v>18</v>
      </c>
      <c r="G394">
        <v>5</v>
      </c>
    </row>
    <row r="395" spans="1:7" x14ac:dyDescent="0.25">
      <c r="A395">
        <v>1986</v>
      </c>
      <c r="B395" t="s">
        <v>951</v>
      </c>
      <c r="C395">
        <v>48176</v>
      </c>
      <c r="D395" t="s">
        <v>18</v>
      </c>
      <c r="E395">
        <v>4</v>
      </c>
      <c r="F395" t="s">
        <v>18</v>
      </c>
      <c r="G395">
        <v>4</v>
      </c>
    </row>
    <row r="396" spans="1:7" x14ac:dyDescent="0.25">
      <c r="A396">
        <v>1969</v>
      </c>
      <c r="B396" t="s">
        <v>951</v>
      </c>
      <c r="C396">
        <v>49236</v>
      </c>
      <c r="D396" t="s">
        <v>17</v>
      </c>
      <c r="E396">
        <v>2</v>
      </c>
      <c r="F396" t="s">
        <v>17</v>
      </c>
      <c r="G396">
        <v>2</v>
      </c>
    </row>
    <row r="397" spans="1:7" x14ac:dyDescent="0.25">
      <c r="A397">
        <v>1952</v>
      </c>
      <c r="B397" t="s">
        <v>953</v>
      </c>
      <c r="C397">
        <v>48198</v>
      </c>
      <c r="D397" t="s">
        <v>952</v>
      </c>
      <c r="E397">
        <v>0</v>
      </c>
      <c r="F397" t="s">
        <v>16</v>
      </c>
      <c r="G397">
        <v>1</v>
      </c>
    </row>
    <row r="398" spans="1:7" x14ac:dyDescent="0.25">
      <c r="A398">
        <v>1977</v>
      </c>
      <c r="B398" t="s">
        <v>951</v>
      </c>
      <c r="C398">
        <v>48176</v>
      </c>
      <c r="D398" t="s">
        <v>16</v>
      </c>
      <c r="E398">
        <v>1</v>
      </c>
      <c r="F398" t="s">
        <v>16</v>
      </c>
      <c r="G398">
        <v>1</v>
      </c>
    </row>
    <row r="399" spans="1:7" x14ac:dyDescent="0.25">
      <c r="A399">
        <v>1963</v>
      </c>
      <c r="B399" t="s">
        <v>951</v>
      </c>
      <c r="C399">
        <v>48160</v>
      </c>
      <c r="D399" t="s">
        <v>952</v>
      </c>
      <c r="E399">
        <v>0</v>
      </c>
      <c r="F399" t="s">
        <v>16</v>
      </c>
      <c r="G399">
        <v>1</v>
      </c>
    </row>
    <row r="400" spans="1:7" x14ac:dyDescent="0.25">
      <c r="A400">
        <v>1966</v>
      </c>
      <c r="B400" t="s">
        <v>953</v>
      </c>
      <c r="C400">
        <v>48176</v>
      </c>
      <c r="D400" t="s">
        <v>952</v>
      </c>
      <c r="E400">
        <v>0</v>
      </c>
      <c r="F400" t="s">
        <v>16</v>
      </c>
      <c r="G400">
        <v>1</v>
      </c>
    </row>
    <row r="401" spans="1:7" x14ac:dyDescent="0.25">
      <c r="A401">
        <v>1953</v>
      </c>
      <c r="B401" t="s">
        <v>953</v>
      </c>
      <c r="C401">
        <v>48176</v>
      </c>
      <c r="D401" t="s">
        <v>17</v>
      </c>
      <c r="E401">
        <v>2</v>
      </c>
      <c r="F401" t="s">
        <v>17</v>
      </c>
      <c r="G401">
        <v>2</v>
      </c>
    </row>
    <row r="402" spans="1:7" x14ac:dyDescent="0.25">
      <c r="A402">
        <v>1963</v>
      </c>
      <c r="B402" t="s">
        <v>951</v>
      </c>
      <c r="C402">
        <v>48176</v>
      </c>
      <c r="D402" t="s">
        <v>952</v>
      </c>
      <c r="E402">
        <v>0</v>
      </c>
      <c r="F402" t="s">
        <v>16</v>
      </c>
      <c r="G402">
        <v>1</v>
      </c>
    </row>
    <row r="403" spans="1:7" x14ac:dyDescent="0.25">
      <c r="A403">
        <v>1959</v>
      </c>
      <c r="B403" t="s">
        <v>951</v>
      </c>
      <c r="C403">
        <v>48176</v>
      </c>
      <c r="D403" t="s">
        <v>952</v>
      </c>
      <c r="E403">
        <v>0</v>
      </c>
      <c r="F403" t="s">
        <v>16</v>
      </c>
      <c r="G403">
        <v>1</v>
      </c>
    </row>
    <row r="404" spans="1:7" x14ac:dyDescent="0.25">
      <c r="A404">
        <v>1981</v>
      </c>
      <c r="B404" t="s">
        <v>951</v>
      </c>
      <c r="C404">
        <v>48176</v>
      </c>
      <c r="D404" t="s">
        <v>16</v>
      </c>
      <c r="E404">
        <v>1</v>
      </c>
      <c r="F404" t="s">
        <v>16</v>
      </c>
      <c r="G404">
        <v>1</v>
      </c>
    </row>
    <row r="405" spans="1:7" x14ac:dyDescent="0.25">
      <c r="A405">
        <v>1967</v>
      </c>
      <c r="B405" t="s">
        <v>951</v>
      </c>
      <c r="C405">
        <v>48176</v>
      </c>
      <c r="D405" t="s">
        <v>952</v>
      </c>
      <c r="E405">
        <v>0</v>
      </c>
      <c r="F405" t="s">
        <v>16</v>
      </c>
      <c r="G405">
        <v>1</v>
      </c>
    </row>
    <row r="406" spans="1:7" x14ac:dyDescent="0.25">
      <c r="A406">
        <v>1969</v>
      </c>
      <c r="B406" t="s">
        <v>951</v>
      </c>
      <c r="C406">
        <v>48176</v>
      </c>
      <c r="D406" t="s">
        <v>952</v>
      </c>
      <c r="E406">
        <v>0</v>
      </c>
      <c r="F406" t="s">
        <v>16</v>
      </c>
      <c r="G406">
        <v>1</v>
      </c>
    </row>
    <row r="407" spans="1:7" x14ac:dyDescent="0.25">
      <c r="A407">
        <v>1982</v>
      </c>
      <c r="B407" t="s">
        <v>953</v>
      </c>
      <c r="C407">
        <v>48118</v>
      </c>
      <c r="D407" t="s">
        <v>16</v>
      </c>
      <c r="E407">
        <v>1</v>
      </c>
      <c r="F407" t="s">
        <v>16</v>
      </c>
      <c r="G407">
        <v>1</v>
      </c>
    </row>
    <row r="408" spans="1:7" x14ac:dyDescent="0.25">
      <c r="A408">
        <v>1956</v>
      </c>
      <c r="B408" t="s">
        <v>953</v>
      </c>
      <c r="C408">
        <v>48103</v>
      </c>
      <c r="D408" t="s">
        <v>16</v>
      </c>
      <c r="E408">
        <v>1</v>
      </c>
      <c r="F408" t="s">
        <v>16</v>
      </c>
      <c r="G408">
        <v>1</v>
      </c>
    </row>
    <row r="409" spans="1:7" x14ac:dyDescent="0.25">
      <c r="A409">
        <v>1992</v>
      </c>
      <c r="B409" t="s">
        <v>951</v>
      </c>
      <c r="C409">
        <v>48105</v>
      </c>
      <c r="D409" t="s">
        <v>952</v>
      </c>
      <c r="E409">
        <v>0</v>
      </c>
      <c r="F409" t="s">
        <v>17</v>
      </c>
      <c r="G409">
        <v>2</v>
      </c>
    </row>
    <row r="410" spans="1:7" x14ac:dyDescent="0.25">
      <c r="A410">
        <v>1971</v>
      </c>
      <c r="B410" t="s">
        <v>953</v>
      </c>
      <c r="C410">
        <v>48197</v>
      </c>
      <c r="D410" t="s">
        <v>952</v>
      </c>
      <c r="E410">
        <v>0</v>
      </c>
      <c r="F410" t="s">
        <v>16</v>
      </c>
      <c r="G410">
        <v>1</v>
      </c>
    </row>
    <row r="411" spans="1:7" x14ac:dyDescent="0.25">
      <c r="A411">
        <v>1968</v>
      </c>
      <c r="B411" t="s">
        <v>951</v>
      </c>
      <c r="C411">
        <v>48176</v>
      </c>
      <c r="D411" t="s">
        <v>952</v>
      </c>
      <c r="E411">
        <v>0</v>
      </c>
      <c r="F411" t="s">
        <v>16</v>
      </c>
      <c r="G411">
        <v>1</v>
      </c>
    </row>
    <row r="412" spans="1:7" x14ac:dyDescent="0.25">
      <c r="A412">
        <v>1987</v>
      </c>
      <c r="B412" t="s">
        <v>953</v>
      </c>
      <c r="C412">
        <v>48197</v>
      </c>
      <c r="D412" t="s">
        <v>18</v>
      </c>
      <c r="E412">
        <v>4</v>
      </c>
      <c r="F412" t="s">
        <v>18</v>
      </c>
      <c r="G412">
        <v>4</v>
      </c>
    </row>
    <row r="413" spans="1:7" x14ac:dyDescent="0.25">
      <c r="A413">
        <v>1991</v>
      </c>
      <c r="B413" t="s">
        <v>951</v>
      </c>
      <c r="C413">
        <v>48150</v>
      </c>
      <c r="D413" t="s">
        <v>17</v>
      </c>
      <c r="E413">
        <v>2</v>
      </c>
      <c r="F413" t="s">
        <v>17</v>
      </c>
      <c r="G413">
        <v>2</v>
      </c>
    </row>
    <row r="414" spans="1:7" x14ac:dyDescent="0.25">
      <c r="A414">
        <v>1990</v>
      </c>
      <c r="B414" t="s">
        <v>951</v>
      </c>
      <c r="C414">
        <v>48187</v>
      </c>
      <c r="D414" t="s">
        <v>16</v>
      </c>
      <c r="E414">
        <v>1</v>
      </c>
      <c r="F414" t="s">
        <v>16</v>
      </c>
      <c r="G414">
        <v>1</v>
      </c>
    </row>
    <row r="415" spans="1:7" x14ac:dyDescent="0.25">
      <c r="A415">
        <v>1990</v>
      </c>
      <c r="B415" t="s">
        <v>951</v>
      </c>
      <c r="C415">
        <v>48111</v>
      </c>
      <c r="D415" t="s">
        <v>16</v>
      </c>
      <c r="E415">
        <v>1</v>
      </c>
      <c r="F415" t="s">
        <v>16</v>
      </c>
      <c r="G415">
        <v>1</v>
      </c>
    </row>
    <row r="416" spans="1:7" x14ac:dyDescent="0.25">
      <c r="A416">
        <v>1983</v>
      </c>
      <c r="B416" t="s">
        <v>953</v>
      </c>
      <c r="C416">
        <v>48176</v>
      </c>
      <c r="D416" t="s">
        <v>952</v>
      </c>
      <c r="E416">
        <v>0</v>
      </c>
      <c r="F416" t="s">
        <v>16</v>
      </c>
      <c r="G416">
        <v>1</v>
      </c>
    </row>
    <row r="417" spans="1:7" x14ac:dyDescent="0.25">
      <c r="A417">
        <v>1970</v>
      </c>
      <c r="B417" t="s">
        <v>951</v>
      </c>
      <c r="C417">
        <v>48197</v>
      </c>
      <c r="D417" t="s">
        <v>16</v>
      </c>
      <c r="E417">
        <v>1</v>
      </c>
      <c r="F417" t="s">
        <v>16</v>
      </c>
      <c r="G417">
        <v>1</v>
      </c>
    </row>
    <row r="418" spans="1:7" x14ac:dyDescent="0.25">
      <c r="A418">
        <v>1989</v>
      </c>
      <c r="B418" t="s">
        <v>953</v>
      </c>
      <c r="C418">
        <v>48117</v>
      </c>
      <c r="D418" t="s">
        <v>16</v>
      </c>
      <c r="E418">
        <v>1</v>
      </c>
      <c r="F418" t="s">
        <v>16</v>
      </c>
      <c r="G418">
        <v>1</v>
      </c>
    </row>
    <row r="419" spans="1:7" x14ac:dyDescent="0.25">
      <c r="A419">
        <v>1991</v>
      </c>
      <c r="B419" t="s">
        <v>953</v>
      </c>
      <c r="C419">
        <v>48176</v>
      </c>
      <c r="D419" t="s">
        <v>17</v>
      </c>
      <c r="E419">
        <v>2</v>
      </c>
      <c r="F419" t="s">
        <v>17</v>
      </c>
      <c r="G419">
        <v>2</v>
      </c>
    </row>
    <row r="420" spans="1:7" x14ac:dyDescent="0.25">
      <c r="A420">
        <v>1992</v>
      </c>
      <c r="B420" t="s">
        <v>951</v>
      </c>
      <c r="C420">
        <v>48167</v>
      </c>
      <c r="D420" t="s">
        <v>18</v>
      </c>
      <c r="E420">
        <v>3</v>
      </c>
      <c r="F420" t="s">
        <v>18</v>
      </c>
      <c r="G420">
        <v>3</v>
      </c>
    </row>
    <row r="421" spans="1:7" x14ac:dyDescent="0.25">
      <c r="A421">
        <v>1968</v>
      </c>
      <c r="B421" t="s">
        <v>951</v>
      </c>
      <c r="C421">
        <v>48198</v>
      </c>
      <c r="D421" t="s">
        <v>17</v>
      </c>
      <c r="E421">
        <v>2</v>
      </c>
      <c r="F421" t="s">
        <v>17</v>
      </c>
      <c r="G421">
        <v>2</v>
      </c>
    </row>
    <row r="422" spans="1:7" x14ac:dyDescent="0.25">
      <c r="A422">
        <v>1985</v>
      </c>
      <c r="B422" t="s">
        <v>951</v>
      </c>
      <c r="C422">
        <v>48197</v>
      </c>
      <c r="D422" t="s">
        <v>952</v>
      </c>
      <c r="E422">
        <v>0</v>
      </c>
      <c r="F422" t="s">
        <v>16</v>
      </c>
      <c r="G422">
        <v>1</v>
      </c>
    </row>
    <row r="423" spans="1:7" x14ac:dyDescent="0.25">
      <c r="A423">
        <v>1991</v>
      </c>
      <c r="B423" t="s">
        <v>951</v>
      </c>
      <c r="C423">
        <v>48103</v>
      </c>
      <c r="D423" t="s">
        <v>16</v>
      </c>
      <c r="E423">
        <v>1</v>
      </c>
      <c r="F423" t="s">
        <v>16</v>
      </c>
      <c r="G423">
        <v>1</v>
      </c>
    </row>
    <row r="424" spans="1:7" x14ac:dyDescent="0.25">
      <c r="A424">
        <v>1964</v>
      </c>
      <c r="B424" t="s">
        <v>953</v>
      </c>
      <c r="C424">
        <v>48380</v>
      </c>
      <c r="D424" t="s">
        <v>16</v>
      </c>
      <c r="E424">
        <v>1</v>
      </c>
      <c r="F424" t="s">
        <v>16</v>
      </c>
      <c r="G424">
        <v>1</v>
      </c>
    </row>
    <row r="425" spans="1:7" x14ac:dyDescent="0.25">
      <c r="A425">
        <v>1958</v>
      </c>
      <c r="B425" t="s">
        <v>953</v>
      </c>
      <c r="C425">
        <v>48189</v>
      </c>
      <c r="D425" t="s">
        <v>16</v>
      </c>
      <c r="E425">
        <v>1</v>
      </c>
      <c r="F425" t="s">
        <v>16</v>
      </c>
      <c r="G425">
        <v>1</v>
      </c>
    </row>
    <row r="426" spans="1:7" x14ac:dyDescent="0.25">
      <c r="A426">
        <v>1990</v>
      </c>
      <c r="B426" t="s">
        <v>951</v>
      </c>
      <c r="C426">
        <v>48191</v>
      </c>
      <c r="D426" t="s">
        <v>18</v>
      </c>
      <c r="E426">
        <v>3</v>
      </c>
      <c r="F426" t="s">
        <v>18</v>
      </c>
      <c r="G426">
        <v>3</v>
      </c>
    </row>
    <row r="427" spans="1:7" x14ac:dyDescent="0.25">
      <c r="A427">
        <v>1977</v>
      </c>
      <c r="B427" t="s">
        <v>951</v>
      </c>
      <c r="C427">
        <v>48176</v>
      </c>
      <c r="D427" t="s">
        <v>18</v>
      </c>
      <c r="E427">
        <v>5</v>
      </c>
      <c r="F427" t="s">
        <v>18</v>
      </c>
      <c r="G427">
        <v>5</v>
      </c>
    </row>
    <row r="428" spans="1:7" x14ac:dyDescent="0.25">
      <c r="A428">
        <v>1968</v>
      </c>
      <c r="B428" t="s">
        <v>951</v>
      </c>
      <c r="C428">
        <v>48176</v>
      </c>
      <c r="D428" t="s">
        <v>16</v>
      </c>
      <c r="E428">
        <v>1</v>
      </c>
      <c r="F428" t="s">
        <v>16</v>
      </c>
      <c r="G428">
        <v>1</v>
      </c>
    </row>
    <row r="429" spans="1:7" x14ac:dyDescent="0.25">
      <c r="A429">
        <v>1988</v>
      </c>
      <c r="B429" t="s">
        <v>951</v>
      </c>
      <c r="C429">
        <v>48176</v>
      </c>
      <c r="D429" t="s">
        <v>18</v>
      </c>
      <c r="E429">
        <v>4</v>
      </c>
      <c r="F429" t="s">
        <v>18</v>
      </c>
      <c r="G429">
        <v>4</v>
      </c>
    </row>
    <row r="430" spans="1:7" x14ac:dyDescent="0.25">
      <c r="A430">
        <v>1962</v>
      </c>
      <c r="B430" t="s">
        <v>951</v>
      </c>
      <c r="C430">
        <v>49236</v>
      </c>
      <c r="D430" t="s">
        <v>17</v>
      </c>
      <c r="E430">
        <v>2</v>
      </c>
      <c r="F430" t="s">
        <v>17</v>
      </c>
      <c r="G430">
        <v>2</v>
      </c>
    </row>
    <row r="431" spans="1:7" x14ac:dyDescent="0.25">
      <c r="A431">
        <v>1970</v>
      </c>
      <c r="B431" t="s">
        <v>951</v>
      </c>
      <c r="C431">
        <v>48176</v>
      </c>
      <c r="D431" t="s">
        <v>952</v>
      </c>
      <c r="E431">
        <v>0</v>
      </c>
      <c r="F431" t="s">
        <v>16</v>
      </c>
      <c r="G431">
        <v>1</v>
      </c>
    </row>
    <row r="432" spans="1:7" x14ac:dyDescent="0.25">
      <c r="A432">
        <v>1993</v>
      </c>
      <c r="B432" t="s">
        <v>953</v>
      </c>
      <c r="C432">
        <v>48176</v>
      </c>
      <c r="D432" t="s">
        <v>16</v>
      </c>
      <c r="E432">
        <v>1</v>
      </c>
      <c r="F432" t="s">
        <v>16</v>
      </c>
      <c r="G432">
        <v>1</v>
      </c>
    </row>
    <row r="433" spans="1:7" x14ac:dyDescent="0.25">
      <c r="A433">
        <v>1993</v>
      </c>
      <c r="B433" t="s">
        <v>951</v>
      </c>
      <c r="C433">
        <v>48182</v>
      </c>
      <c r="D433" t="s">
        <v>16</v>
      </c>
      <c r="E433">
        <v>1</v>
      </c>
      <c r="F433" t="s">
        <v>16</v>
      </c>
      <c r="G433">
        <v>1</v>
      </c>
    </row>
    <row r="434" spans="1:7" x14ac:dyDescent="0.25">
      <c r="A434">
        <v>1972</v>
      </c>
      <c r="B434" t="s">
        <v>951</v>
      </c>
      <c r="C434">
        <v>48176</v>
      </c>
      <c r="D434" t="s">
        <v>952</v>
      </c>
      <c r="E434">
        <v>0</v>
      </c>
      <c r="F434" t="s">
        <v>16</v>
      </c>
      <c r="G434">
        <v>1</v>
      </c>
    </row>
    <row r="435" spans="1:7" x14ac:dyDescent="0.25">
      <c r="A435">
        <v>1980</v>
      </c>
      <c r="B435" t="s">
        <v>951</v>
      </c>
      <c r="C435">
        <v>48197</v>
      </c>
      <c r="D435" t="s">
        <v>952</v>
      </c>
      <c r="E435">
        <v>0</v>
      </c>
      <c r="F435" t="s">
        <v>16</v>
      </c>
      <c r="G435">
        <v>1</v>
      </c>
    </row>
    <row r="436" spans="1:7" x14ac:dyDescent="0.25">
      <c r="A436">
        <v>1981</v>
      </c>
      <c r="B436" t="s">
        <v>951</v>
      </c>
      <c r="C436">
        <v>48176</v>
      </c>
      <c r="D436" t="s">
        <v>16</v>
      </c>
      <c r="E436">
        <v>1</v>
      </c>
      <c r="F436" t="s">
        <v>16</v>
      </c>
      <c r="G436">
        <v>1</v>
      </c>
    </row>
    <row r="437" spans="1:7" x14ac:dyDescent="0.25">
      <c r="A437">
        <v>1988</v>
      </c>
      <c r="B437" t="s">
        <v>953</v>
      </c>
      <c r="C437">
        <v>48118</v>
      </c>
      <c r="D437" t="s">
        <v>18</v>
      </c>
      <c r="E437">
        <v>3</v>
      </c>
      <c r="F437" t="s">
        <v>18</v>
      </c>
      <c r="G437">
        <v>3</v>
      </c>
    </row>
    <row r="438" spans="1:7" x14ac:dyDescent="0.25">
      <c r="A438">
        <v>1956</v>
      </c>
      <c r="B438" t="s">
        <v>953</v>
      </c>
      <c r="C438">
        <v>48103</v>
      </c>
      <c r="D438" t="s">
        <v>18</v>
      </c>
      <c r="E438">
        <v>3</v>
      </c>
      <c r="F438" t="s">
        <v>18</v>
      </c>
      <c r="G438">
        <v>3</v>
      </c>
    </row>
    <row r="439" spans="1:7" x14ac:dyDescent="0.25">
      <c r="A439">
        <v>1984</v>
      </c>
      <c r="B439" t="s">
        <v>951</v>
      </c>
      <c r="C439">
        <v>48176</v>
      </c>
      <c r="D439" t="s">
        <v>18</v>
      </c>
      <c r="E439">
        <v>3</v>
      </c>
      <c r="F439" t="s">
        <v>18</v>
      </c>
      <c r="G439">
        <v>3</v>
      </c>
    </row>
    <row r="440" spans="1:7" x14ac:dyDescent="0.25">
      <c r="A440">
        <v>1978</v>
      </c>
      <c r="B440" t="s">
        <v>951</v>
      </c>
      <c r="C440">
        <v>48160</v>
      </c>
      <c r="D440" t="s">
        <v>18</v>
      </c>
      <c r="E440">
        <v>6</v>
      </c>
      <c r="F440" t="s">
        <v>18</v>
      </c>
      <c r="G440">
        <v>6</v>
      </c>
    </row>
    <row r="441" spans="1:7" x14ac:dyDescent="0.25">
      <c r="A441">
        <v>1991</v>
      </c>
      <c r="B441" t="s">
        <v>951</v>
      </c>
      <c r="C441">
        <v>48111</v>
      </c>
      <c r="D441" t="s">
        <v>952</v>
      </c>
      <c r="E441">
        <v>0</v>
      </c>
      <c r="F441" t="s">
        <v>18</v>
      </c>
      <c r="G441">
        <v>3</v>
      </c>
    </row>
    <row r="442" spans="1:7" x14ac:dyDescent="0.25">
      <c r="A442">
        <v>1977</v>
      </c>
      <c r="B442" t="s">
        <v>953</v>
      </c>
      <c r="C442">
        <v>48103</v>
      </c>
      <c r="D442" t="s">
        <v>952</v>
      </c>
      <c r="E442">
        <v>0</v>
      </c>
      <c r="F442" t="s">
        <v>16</v>
      </c>
      <c r="G442">
        <v>1</v>
      </c>
    </row>
    <row r="443" spans="1:7" x14ac:dyDescent="0.25">
      <c r="A443">
        <v>1996</v>
      </c>
      <c r="B443" t="s">
        <v>953</v>
      </c>
      <c r="C443">
        <v>48108</v>
      </c>
      <c r="D443" t="s">
        <v>952</v>
      </c>
      <c r="E443">
        <v>0</v>
      </c>
      <c r="F443" t="s">
        <v>16</v>
      </c>
      <c r="G443">
        <v>1</v>
      </c>
    </row>
    <row r="444" spans="1:7" x14ac:dyDescent="0.25">
      <c r="A444">
        <v>1973</v>
      </c>
      <c r="B444" t="s">
        <v>951</v>
      </c>
      <c r="C444">
        <v>49236</v>
      </c>
      <c r="D444" t="s">
        <v>952</v>
      </c>
      <c r="E444">
        <v>0</v>
      </c>
      <c r="F444" t="s">
        <v>16</v>
      </c>
      <c r="G444">
        <v>1</v>
      </c>
    </row>
    <row r="445" spans="1:7" x14ac:dyDescent="0.25">
      <c r="A445">
        <v>1970</v>
      </c>
      <c r="B445" t="s">
        <v>953</v>
      </c>
      <c r="C445">
        <v>48160</v>
      </c>
      <c r="D445" t="s">
        <v>18</v>
      </c>
      <c r="E445">
        <v>4</v>
      </c>
      <c r="F445" t="s">
        <v>18</v>
      </c>
      <c r="G445">
        <v>4</v>
      </c>
    </row>
    <row r="446" spans="1:7" x14ac:dyDescent="0.25">
      <c r="A446">
        <v>1987</v>
      </c>
      <c r="B446" t="s">
        <v>951</v>
      </c>
      <c r="C446">
        <v>48170</v>
      </c>
      <c r="D446" t="s">
        <v>18</v>
      </c>
      <c r="E446">
        <v>3</v>
      </c>
      <c r="F446" t="s">
        <v>18</v>
      </c>
      <c r="G446">
        <v>3</v>
      </c>
    </row>
    <row r="447" spans="1:7" x14ac:dyDescent="0.25">
      <c r="A447">
        <v>1974</v>
      </c>
      <c r="B447" t="s">
        <v>951</v>
      </c>
      <c r="C447">
        <v>48176</v>
      </c>
      <c r="D447" t="s">
        <v>18</v>
      </c>
      <c r="E447">
        <v>5</v>
      </c>
      <c r="F447" t="s">
        <v>18</v>
      </c>
      <c r="G447">
        <v>5</v>
      </c>
    </row>
    <row r="448" spans="1:7" x14ac:dyDescent="0.25">
      <c r="A448">
        <v>1968</v>
      </c>
      <c r="B448" t="s">
        <v>951</v>
      </c>
      <c r="C448">
        <v>48197</v>
      </c>
      <c r="D448" t="s">
        <v>16</v>
      </c>
      <c r="E448">
        <v>1</v>
      </c>
      <c r="F448" t="s">
        <v>16</v>
      </c>
      <c r="G448">
        <v>1</v>
      </c>
    </row>
    <row r="449" spans="1:7" x14ac:dyDescent="0.25">
      <c r="A449">
        <v>1968</v>
      </c>
      <c r="B449" t="s">
        <v>951</v>
      </c>
      <c r="C449">
        <v>48176</v>
      </c>
      <c r="D449" t="s">
        <v>18</v>
      </c>
      <c r="E449">
        <v>5</v>
      </c>
      <c r="F449" t="s">
        <v>18</v>
      </c>
      <c r="G449">
        <v>5</v>
      </c>
    </row>
    <row r="450" spans="1:7" x14ac:dyDescent="0.25">
      <c r="A450">
        <v>1991</v>
      </c>
      <c r="B450" t="s">
        <v>951</v>
      </c>
      <c r="C450">
        <v>48176</v>
      </c>
      <c r="D450" t="s">
        <v>16</v>
      </c>
      <c r="E450">
        <v>1</v>
      </c>
      <c r="F450" t="s">
        <v>16</v>
      </c>
      <c r="G450">
        <v>1</v>
      </c>
    </row>
    <row r="451" spans="1:7" x14ac:dyDescent="0.25">
      <c r="A451">
        <v>1958</v>
      </c>
      <c r="B451" t="s">
        <v>951</v>
      </c>
      <c r="C451">
        <v>48176</v>
      </c>
      <c r="D451" t="s">
        <v>17</v>
      </c>
      <c r="E451">
        <v>2</v>
      </c>
      <c r="F451" t="s">
        <v>17</v>
      </c>
      <c r="G451">
        <v>2</v>
      </c>
    </row>
    <row r="452" spans="1:7" x14ac:dyDescent="0.25">
      <c r="A452">
        <v>1979</v>
      </c>
      <c r="B452" t="s">
        <v>951</v>
      </c>
      <c r="C452">
        <v>48176</v>
      </c>
      <c r="D452" t="s">
        <v>16</v>
      </c>
      <c r="E452">
        <v>1</v>
      </c>
      <c r="F452" t="s">
        <v>16</v>
      </c>
      <c r="G452">
        <v>1</v>
      </c>
    </row>
    <row r="453" spans="1:7" x14ac:dyDescent="0.25">
      <c r="A453">
        <v>1983</v>
      </c>
      <c r="B453" t="s">
        <v>951</v>
      </c>
      <c r="C453">
        <v>49286</v>
      </c>
      <c r="D453" t="s">
        <v>18</v>
      </c>
      <c r="E453">
        <v>5</v>
      </c>
      <c r="F453" t="s">
        <v>18</v>
      </c>
      <c r="G453">
        <v>5</v>
      </c>
    </row>
    <row r="454" spans="1:7" x14ac:dyDescent="0.25">
      <c r="A454">
        <v>1987</v>
      </c>
      <c r="B454" t="s">
        <v>951</v>
      </c>
      <c r="C454">
        <v>48174</v>
      </c>
      <c r="D454" t="s">
        <v>952</v>
      </c>
      <c r="E454">
        <v>0</v>
      </c>
      <c r="F454" t="s">
        <v>17</v>
      </c>
      <c r="G454">
        <v>2</v>
      </c>
    </row>
    <row r="455" spans="1:7" x14ac:dyDescent="0.25">
      <c r="A455">
        <v>1970</v>
      </c>
      <c r="B455" t="s">
        <v>951</v>
      </c>
      <c r="C455">
        <v>48176</v>
      </c>
      <c r="D455" t="s">
        <v>952</v>
      </c>
      <c r="E455">
        <v>0</v>
      </c>
      <c r="F455" t="s">
        <v>18</v>
      </c>
      <c r="G455">
        <v>4</v>
      </c>
    </row>
    <row r="456" spans="1:7" x14ac:dyDescent="0.25">
      <c r="A456">
        <v>1993</v>
      </c>
      <c r="B456" t="s">
        <v>951</v>
      </c>
      <c r="C456">
        <v>48176</v>
      </c>
      <c r="D456" t="s">
        <v>952</v>
      </c>
      <c r="E456">
        <v>0</v>
      </c>
      <c r="F456" t="s">
        <v>16</v>
      </c>
      <c r="G456">
        <v>1</v>
      </c>
    </row>
    <row r="457" spans="1:7" x14ac:dyDescent="0.25">
      <c r="A457">
        <v>1986</v>
      </c>
      <c r="B457" t="s">
        <v>951</v>
      </c>
      <c r="C457">
        <v>48188</v>
      </c>
      <c r="D457" t="s">
        <v>16</v>
      </c>
      <c r="E457">
        <v>1</v>
      </c>
      <c r="F457" t="s">
        <v>16</v>
      </c>
      <c r="G457">
        <v>1</v>
      </c>
    </row>
    <row r="458" spans="1:7" x14ac:dyDescent="0.25">
      <c r="A458">
        <v>1992</v>
      </c>
      <c r="B458" t="s">
        <v>953</v>
      </c>
      <c r="C458">
        <v>48198</v>
      </c>
      <c r="D458" t="s">
        <v>18</v>
      </c>
      <c r="E458">
        <v>5</v>
      </c>
      <c r="F458" t="s">
        <v>18</v>
      </c>
      <c r="G458">
        <v>5</v>
      </c>
    </row>
    <row r="459" spans="1:7" x14ac:dyDescent="0.25">
      <c r="A459">
        <v>1987</v>
      </c>
      <c r="B459" t="s">
        <v>951</v>
      </c>
      <c r="C459">
        <v>48197</v>
      </c>
      <c r="D459" t="s">
        <v>952</v>
      </c>
      <c r="E459">
        <v>0</v>
      </c>
      <c r="F459" t="s">
        <v>18</v>
      </c>
      <c r="G459">
        <v>4</v>
      </c>
    </row>
    <row r="460" spans="1:7" x14ac:dyDescent="0.25">
      <c r="A460">
        <v>1979</v>
      </c>
      <c r="B460" t="s">
        <v>951</v>
      </c>
      <c r="C460">
        <v>48176</v>
      </c>
      <c r="D460" t="s">
        <v>18</v>
      </c>
      <c r="E460">
        <v>5</v>
      </c>
      <c r="F460" t="s">
        <v>18</v>
      </c>
      <c r="G460">
        <v>5</v>
      </c>
    </row>
    <row r="461" spans="1:7" x14ac:dyDescent="0.25">
      <c r="A461">
        <v>1978</v>
      </c>
      <c r="B461" t="s">
        <v>951</v>
      </c>
      <c r="C461">
        <v>48176</v>
      </c>
      <c r="D461" t="s">
        <v>18</v>
      </c>
      <c r="E461">
        <v>5</v>
      </c>
      <c r="F461" t="s">
        <v>18</v>
      </c>
      <c r="G461">
        <v>5</v>
      </c>
    </row>
    <row r="462" spans="1:7" x14ac:dyDescent="0.25">
      <c r="A462">
        <v>1990</v>
      </c>
      <c r="B462" t="s">
        <v>951</v>
      </c>
      <c r="C462">
        <v>48108</v>
      </c>
      <c r="D462" t="s">
        <v>17</v>
      </c>
      <c r="E462">
        <v>2</v>
      </c>
      <c r="F462" t="s">
        <v>17</v>
      </c>
      <c r="G462">
        <v>2</v>
      </c>
    </row>
    <row r="463" spans="1:7" x14ac:dyDescent="0.25">
      <c r="A463">
        <v>1997</v>
      </c>
      <c r="B463" t="s">
        <v>953</v>
      </c>
      <c r="C463">
        <v>48176</v>
      </c>
      <c r="D463" t="s">
        <v>16</v>
      </c>
      <c r="E463">
        <v>1</v>
      </c>
      <c r="F463" t="s">
        <v>16</v>
      </c>
      <c r="G463">
        <v>1</v>
      </c>
    </row>
    <row r="464" spans="1:7" x14ac:dyDescent="0.25">
      <c r="A464">
        <v>1963</v>
      </c>
      <c r="B464" t="s">
        <v>951</v>
      </c>
      <c r="C464">
        <v>48176</v>
      </c>
      <c r="D464" t="s">
        <v>952</v>
      </c>
      <c r="E464">
        <v>0</v>
      </c>
      <c r="F464" t="s">
        <v>16</v>
      </c>
      <c r="G464">
        <v>1</v>
      </c>
    </row>
    <row r="465" spans="1:7" x14ac:dyDescent="0.25">
      <c r="A465">
        <v>1991</v>
      </c>
      <c r="B465" t="s">
        <v>953</v>
      </c>
      <c r="C465">
        <v>48176</v>
      </c>
      <c r="D465" t="s">
        <v>16</v>
      </c>
      <c r="E465">
        <v>1</v>
      </c>
      <c r="F465" t="s">
        <v>16</v>
      </c>
      <c r="G465">
        <v>1</v>
      </c>
    </row>
    <row r="466" spans="1:7" x14ac:dyDescent="0.25">
      <c r="A466">
        <v>1976</v>
      </c>
      <c r="B466" t="s">
        <v>951</v>
      </c>
      <c r="C466">
        <v>49286</v>
      </c>
      <c r="D466" t="s">
        <v>952</v>
      </c>
      <c r="E466">
        <v>0</v>
      </c>
      <c r="F466" t="s">
        <v>16</v>
      </c>
      <c r="G466">
        <v>1</v>
      </c>
    </row>
    <row r="467" spans="1:7" x14ac:dyDescent="0.25">
      <c r="A467">
        <v>1976</v>
      </c>
      <c r="B467" t="s">
        <v>953</v>
      </c>
      <c r="C467">
        <v>48176</v>
      </c>
      <c r="D467" t="s">
        <v>16</v>
      </c>
      <c r="E467">
        <v>1</v>
      </c>
      <c r="F467" t="s">
        <v>16</v>
      </c>
      <c r="G467">
        <v>1</v>
      </c>
    </row>
    <row r="468" spans="1:7" x14ac:dyDescent="0.25">
      <c r="A468">
        <v>1991</v>
      </c>
      <c r="B468" t="s">
        <v>951</v>
      </c>
      <c r="C468">
        <v>49240</v>
      </c>
      <c r="D468" t="s">
        <v>16</v>
      </c>
      <c r="E468">
        <v>1</v>
      </c>
      <c r="F468" t="s">
        <v>16</v>
      </c>
      <c r="G468">
        <v>1</v>
      </c>
    </row>
    <row r="469" spans="1:7" x14ac:dyDescent="0.25">
      <c r="A469">
        <v>1975</v>
      </c>
      <c r="B469" t="s">
        <v>951</v>
      </c>
      <c r="C469">
        <v>48176</v>
      </c>
      <c r="D469" t="s">
        <v>952</v>
      </c>
      <c r="E469">
        <v>0</v>
      </c>
      <c r="F469" t="s">
        <v>16</v>
      </c>
      <c r="G469">
        <v>1</v>
      </c>
    </row>
    <row r="470" spans="1:7" x14ac:dyDescent="0.25">
      <c r="A470">
        <v>1962</v>
      </c>
      <c r="B470" t="s">
        <v>951</v>
      </c>
      <c r="C470">
        <v>48160</v>
      </c>
      <c r="D470" t="s">
        <v>16</v>
      </c>
      <c r="E470">
        <v>1</v>
      </c>
      <c r="F470" t="s">
        <v>16</v>
      </c>
      <c r="G470">
        <v>1</v>
      </c>
    </row>
    <row r="471" spans="1:7" x14ac:dyDescent="0.25">
      <c r="A471">
        <v>1970</v>
      </c>
      <c r="B471" t="s">
        <v>951</v>
      </c>
      <c r="C471">
        <v>48176</v>
      </c>
      <c r="D471" t="s">
        <v>18</v>
      </c>
      <c r="E471">
        <v>4</v>
      </c>
      <c r="F471" t="s">
        <v>18</v>
      </c>
      <c r="G471">
        <v>4</v>
      </c>
    </row>
    <row r="472" spans="1:7" x14ac:dyDescent="0.25">
      <c r="A472">
        <v>1963</v>
      </c>
      <c r="B472" t="s">
        <v>951</v>
      </c>
      <c r="C472">
        <v>48108</v>
      </c>
      <c r="D472" t="s">
        <v>952</v>
      </c>
      <c r="E472">
        <v>0</v>
      </c>
      <c r="F472" t="s">
        <v>18</v>
      </c>
      <c r="G472">
        <v>4</v>
      </c>
    </row>
    <row r="473" spans="1:7" x14ac:dyDescent="0.25">
      <c r="A473">
        <v>1990</v>
      </c>
      <c r="B473" t="s">
        <v>951</v>
      </c>
      <c r="C473">
        <v>48176</v>
      </c>
      <c r="D473" t="s">
        <v>16</v>
      </c>
      <c r="E473">
        <v>1</v>
      </c>
      <c r="F473" t="s">
        <v>16</v>
      </c>
      <c r="G473">
        <v>1</v>
      </c>
    </row>
    <row r="474" spans="1:7" x14ac:dyDescent="0.25">
      <c r="A474">
        <v>1963</v>
      </c>
      <c r="B474" t="s">
        <v>951</v>
      </c>
      <c r="C474">
        <v>48176</v>
      </c>
      <c r="D474" t="s">
        <v>952</v>
      </c>
      <c r="E474">
        <v>0</v>
      </c>
      <c r="F474" t="s">
        <v>18</v>
      </c>
      <c r="G474">
        <v>3</v>
      </c>
    </row>
    <row r="475" spans="1:7" x14ac:dyDescent="0.25">
      <c r="A475">
        <v>1956</v>
      </c>
      <c r="B475" t="s">
        <v>953</v>
      </c>
      <c r="C475">
        <v>48160</v>
      </c>
      <c r="D475" t="s">
        <v>16</v>
      </c>
      <c r="E475">
        <v>1</v>
      </c>
      <c r="F475" t="s">
        <v>16</v>
      </c>
      <c r="G475">
        <v>1</v>
      </c>
    </row>
    <row r="476" spans="1:7" x14ac:dyDescent="0.25">
      <c r="A476">
        <v>1972</v>
      </c>
      <c r="B476" t="s">
        <v>951</v>
      </c>
      <c r="C476">
        <v>48176</v>
      </c>
      <c r="D476" t="s">
        <v>18</v>
      </c>
      <c r="E476">
        <v>4</v>
      </c>
      <c r="F476" t="s">
        <v>18</v>
      </c>
      <c r="G476">
        <v>4</v>
      </c>
    </row>
    <row r="477" spans="1:7" x14ac:dyDescent="0.25">
      <c r="A477">
        <v>1961</v>
      </c>
      <c r="B477" t="s">
        <v>953</v>
      </c>
      <c r="C477">
        <v>48105</v>
      </c>
      <c r="D477" t="s">
        <v>952</v>
      </c>
      <c r="E477">
        <v>0</v>
      </c>
      <c r="F477" t="s">
        <v>17</v>
      </c>
      <c r="G477">
        <v>2</v>
      </c>
    </row>
    <row r="478" spans="1:7" x14ac:dyDescent="0.25">
      <c r="A478">
        <v>1981</v>
      </c>
      <c r="B478" t="s">
        <v>951</v>
      </c>
      <c r="C478">
        <v>48176</v>
      </c>
      <c r="D478" t="s">
        <v>952</v>
      </c>
      <c r="E478">
        <v>0</v>
      </c>
      <c r="F478" t="s">
        <v>16</v>
      </c>
      <c r="G478">
        <v>1</v>
      </c>
    </row>
    <row r="479" spans="1:7" x14ac:dyDescent="0.25">
      <c r="A479">
        <v>1963</v>
      </c>
      <c r="B479" t="s">
        <v>951</v>
      </c>
      <c r="C479">
        <v>48176</v>
      </c>
      <c r="D479" t="s">
        <v>952</v>
      </c>
      <c r="E479">
        <v>0</v>
      </c>
      <c r="F479" t="s">
        <v>16</v>
      </c>
      <c r="G479">
        <v>1</v>
      </c>
    </row>
    <row r="480" spans="1:7" x14ac:dyDescent="0.25">
      <c r="A480">
        <v>1963</v>
      </c>
      <c r="B480" t="s">
        <v>951</v>
      </c>
      <c r="C480">
        <v>48176</v>
      </c>
      <c r="D480" t="s">
        <v>952</v>
      </c>
      <c r="E480">
        <v>0</v>
      </c>
      <c r="F480" t="s">
        <v>16</v>
      </c>
      <c r="G480">
        <v>1</v>
      </c>
    </row>
    <row r="481" spans="1:7" x14ac:dyDescent="0.25">
      <c r="A481">
        <v>1969</v>
      </c>
      <c r="B481" t="s">
        <v>951</v>
      </c>
      <c r="C481">
        <v>48176</v>
      </c>
      <c r="D481" t="s">
        <v>952</v>
      </c>
      <c r="E481">
        <v>0</v>
      </c>
      <c r="F481" t="s">
        <v>16</v>
      </c>
      <c r="G481">
        <v>1</v>
      </c>
    </row>
    <row r="482" spans="1:7" x14ac:dyDescent="0.25">
      <c r="A482">
        <v>1970</v>
      </c>
      <c r="B482" t="s">
        <v>951</v>
      </c>
      <c r="C482">
        <v>48160</v>
      </c>
      <c r="D482" t="s">
        <v>952</v>
      </c>
      <c r="E482">
        <v>0</v>
      </c>
      <c r="F482" t="s">
        <v>16</v>
      </c>
      <c r="G482">
        <v>1</v>
      </c>
    </row>
    <row r="483" spans="1:7" x14ac:dyDescent="0.25">
      <c r="A483">
        <v>1983</v>
      </c>
      <c r="B483" t="s">
        <v>951</v>
      </c>
      <c r="C483">
        <v>48158</v>
      </c>
      <c r="D483" t="s">
        <v>952</v>
      </c>
      <c r="E483">
        <v>0</v>
      </c>
      <c r="F483" t="s">
        <v>16</v>
      </c>
      <c r="G483">
        <v>1</v>
      </c>
    </row>
    <row r="484" spans="1:7" x14ac:dyDescent="0.25">
      <c r="A484">
        <v>1971</v>
      </c>
      <c r="B484" t="s">
        <v>951</v>
      </c>
      <c r="C484">
        <v>48108</v>
      </c>
      <c r="D484" t="s">
        <v>18</v>
      </c>
      <c r="E484">
        <v>5</v>
      </c>
      <c r="F484" t="s">
        <v>18</v>
      </c>
      <c r="G484">
        <v>5</v>
      </c>
    </row>
    <row r="485" spans="1:7" x14ac:dyDescent="0.25">
      <c r="A485">
        <v>1990</v>
      </c>
      <c r="B485" t="s">
        <v>951</v>
      </c>
      <c r="C485">
        <v>48197</v>
      </c>
      <c r="D485" t="s">
        <v>16</v>
      </c>
      <c r="E485">
        <v>1</v>
      </c>
      <c r="F485" t="s">
        <v>16</v>
      </c>
      <c r="G485">
        <v>1</v>
      </c>
    </row>
    <row r="486" spans="1:7" x14ac:dyDescent="0.25">
      <c r="A486">
        <v>1972</v>
      </c>
      <c r="B486" t="s">
        <v>953</v>
      </c>
      <c r="C486">
        <v>48108</v>
      </c>
      <c r="D486" t="s">
        <v>16</v>
      </c>
      <c r="E486">
        <v>1</v>
      </c>
      <c r="F486" t="s">
        <v>16</v>
      </c>
      <c r="G486">
        <v>1</v>
      </c>
    </row>
    <row r="487" spans="1:7" x14ac:dyDescent="0.25">
      <c r="A487">
        <v>1997</v>
      </c>
      <c r="B487" t="s">
        <v>951</v>
      </c>
      <c r="C487">
        <v>49240</v>
      </c>
      <c r="D487" t="s">
        <v>16</v>
      </c>
      <c r="E487">
        <v>1</v>
      </c>
      <c r="F487" t="s">
        <v>16</v>
      </c>
      <c r="G487">
        <v>1</v>
      </c>
    </row>
    <row r="488" spans="1:7" x14ac:dyDescent="0.25">
      <c r="A488">
        <v>1992</v>
      </c>
      <c r="B488" t="s">
        <v>953</v>
      </c>
      <c r="C488">
        <v>48130</v>
      </c>
      <c r="D488" t="s">
        <v>16</v>
      </c>
      <c r="E488">
        <v>1</v>
      </c>
      <c r="F488" t="s">
        <v>16</v>
      </c>
      <c r="G488">
        <v>1</v>
      </c>
    </row>
    <row r="489" spans="1:7" x14ac:dyDescent="0.25">
      <c r="A489">
        <v>1976</v>
      </c>
      <c r="B489" t="s">
        <v>951</v>
      </c>
      <c r="C489">
        <v>48169</v>
      </c>
      <c r="D489" t="s">
        <v>18</v>
      </c>
      <c r="E489">
        <v>4</v>
      </c>
      <c r="F489" t="s">
        <v>18</v>
      </c>
      <c r="G489">
        <v>4</v>
      </c>
    </row>
    <row r="490" spans="1:7" x14ac:dyDescent="0.25">
      <c r="A490">
        <v>1992</v>
      </c>
      <c r="B490" t="s">
        <v>951</v>
      </c>
      <c r="C490">
        <v>48176</v>
      </c>
      <c r="D490" t="s">
        <v>16</v>
      </c>
      <c r="E490">
        <v>1</v>
      </c>
      <c r="F490" t="s">
        <v>16</v>
      </c>
      <c r="G490">
        <v>1</v>
      </c>
    </row>
    <row r="491" spans="1:7" x14ac:dyDescent="0.25">
      <c r="A491">
        <v>1972</v>
      </c>
      <c r="B491" t="s">
        <v>953</v>
      </c>
      <c r="C491">
        <v>48176</v>
      </c>
      <c r="D491" t="s">
        <v>952</v>
      </c>
      <c r="E491">
        <v>0</v>
      </c>
      <c r="F491" t="s">
        <v>18</v>
      </c>
      <c r="G491">
        <v>4</v>
      </c>
    </row>
    <row r="492" spans="1:7" x14ac:dyDescent="0.25">
      <c r="A492">
        <v>1998</v>
      </c>
      <c r="B492" t="s">
        <v>951</v>
      </c>
      <c r="C492">
        <v>48176</v>
      </c>
      <c r="D492" t="s">
        <v>952</v>
      </c>
      <c r="E492">
        <v>0</v>
      </c>
      <c r="F492" t="s">
        <v>16</v>
      </c>
      <c r="G492">
        <v>1</v>
      </c>
    </row>
    <row r="493" spans="1:7" x14ac:dyDescent="0.25">
      <c r="A493">
        <v>1997</v>
      </c>
      <c r="B493" t="s">
        <v>953</v>
      </c>
      <c r="C493">
        <v>48176</v>
      </c>
      <c r="D493" t="s">
        <v>952</v>
      </c>
      <c r="E493">
        <v>0</v>
      </c>
      <c r="F493" t="s">
        <v>16</v>
      </c>
      <c r="G493">
        <v>1</v>
      </c>
    </row>
    <row r="494" spans="1:7" x14ac:dyDescent="0.25">
      <c r="A494">
        <v>1998</v>
      </c>
      <c r="B494" t="s">
        <v>951</v>
      </c>
      <c r="C494">
        <v>48176</v>
      </c>
      <c r="D494" t="s">
        <v>952</v>
      </c>
      <c r="E494">
        <v>0</v>
      </c>
      <c r="F494" t="s">
        <v>16</v>
      </c>
      <c r="G494">
        <v>1</v>
      </c>
    </row>
    <row r="495" spans="1:7" x14ac:dyDescent="0.25">
      <c r="A495">
        <v>1969</v>
      </c>
      <c r="B495" t="s">
        <v>951</v>
      </c>
      <c r="C495">
        <v>48176</v>
      </c>
      <c r="D495" t="s">
        <v>18</v>
      </c>
      <c r="E495">
        <v>4</v>
      </c>
      <c r="F495" t="s">
        <v>18</v>
      </c>
      <c r="G495">
        <v>4</v>
      </c>
    </row>
    <row r="496" spans="1:7" x14ac:dyDescent="0.25">
      <c r="A496">
        <v>1972</v>
      </c>
      <c r="B496" t="s">
        <v>951</v>
      </c>
      <c r="C496">
        <v>48176</v>
      </c>
      <c r="D496" t="s">
        <v>952</v>
      </c>
      <c r="E496">
        <v>0</v>
      </c>
      <c r="F496" t="s">
        <v>16</v>
      </c>
      <c r="G496">
        <v>1</v>
      </c>
    </row>
    <row r="497" spans="1:7" x14ac:dyDescent="0.25">
      <c r="A497">
        <v>1968</v>
      </c>
      <c r="B497" t="s">
        <v>951</v>
      </c>
      <c r="C497">
        <v>48176</v>
      </c>
      <c r="D497" t="s">
        <v>952</v>
      </c>
      <c r="E497">
        <v>0</v>
      </c>
      <c r="F497" t="s">
        <v>16</v>
      </c>
      <c r="G497">
        <v>1</v>
      </c>
    </row>
    <row r="498" spans="1:7" x14ac:dyDescent="0.25">
      <c r="A498">
        <v>1977</v>
      </c>
      <c r="B498" t="s">
        <v>951</v>
      </c>
      <c r="C498">
        <v>48130</v>
      </c>
      <c r="D498" t="s">
        <v>18</v>
      </c>
      <c r="E498">
        <v>4</v>
      </c>
      <c r="F498" t="s">
        <v>18</v>
      </c>
      <c r="G498">
        <v>4</v>
      </c>
    </row>
    <row r="499" spans="1:7" x14ac:dyDescent="0.25">
      <c r="A499">
        <v>1959</v>
      </c>
      <c r="B499" t="s">
        <v>951</v>
      </c>
      <c r="C499">
        <v>48176</v>
      </c>
      <c r="D499" t="s">
        <v>16</v>
      </c>
      <c r="E499">
        <v>1</v>
      </c>
      <c r="F499" t="s">
        <v>16</v>
      </c>
      <c r="G499">
        <v>1</v>
      </c>
    </row>
    <row r="500" spans="1:7" x14ac:dyDescent="0.25">
      <c r="A500">
        <v>1968</v>
      </c>
      <c r="B500" t="s">
        <v>951</v>
      </c>
      <c r="C500">
        <v>48176</v>
      </c>
      <c r="D500" t="s">
        <v>16</v>
      </c>
      <c r="E500">
        <v>1</v>
      </c>
      <c r="F500" t="s">
        <v>16</v>
      </c>
      <c r="G500">
        <v>1</v>
      </c>
    </row>
    <row r="501" spans="1:7" x14ac:dyDescent="0.25">
      <c r="A501">
        <v>1954</v>
      </c>
      <c r="B501" t="s">
        <v>953</v>
      </c>
      <c r="C501">
        <v>48176</v>
      </c>
      <c r="D501" t="s">
        <v>952</v>
      </c>
      <c r="E501">
        <v>0</v>
      </c>
      <c r="F501" t="s">
        <v>16</v>
      </c>
      <c r="G501">
        <v>1</v>
      </c>
    </row>
    <row r="502" spans="1:7" x14ac:dyDescent="0.25">
      <c r="A502">
        <v>1969</v>
      </c>
      <c r="B502" t="s">
        <v>951</v>
      </c>
      <c r="C502">
        <v>48105</v>
      </c>
      <c r="D502" t="s">
        <v>952</v>
      </c>
      <c r="E502">
        <v>0</v>
      </c>
      <c r="F502" t="s">
        <v>16</v>
      </c>
      <c r="G502">
        <v>1</v>
      </c>
    </row>
    <row r="503" spans="1:7" x14ac:dyDescent="0.25">
      <c r="A503">
        <v>1976</v>
      </c>
      <c r="B503" t="s">
        <v>953</v>
      </c>
      <c r="C503">
        <v>48167</v>
      </c>
      <c r="D503" t="s">
        <v>16</v>
      </c>
      <c r="E503">
        <v>1</v>
      </c>
      <c r="F503" t="s">
        <v>16</v>
      </c>
      <c r="G503">
        <v>1</v>
      </c>
    </row>
    <row r="504" spans="1:7" x14ac:dyDescent="0.25">
      <c r="A504">
        <v>1991</v>
      </c>
      <c r="B504" t="s">
        <v>953</v>
      </c>
      <c r="C504">
        <v>48176</v>
      </c>
      <c r="D504" t="s">
        <v>952</v>
      </c>
      <c r="E504">
        <v>0</v>
      </c>
      <c r="F504" t="s">
        <v>16</v>
      </c>
      <c r="G504">
        <v>1</v>
      </c>
    </row>
    <row r="505" spans="1:7" x14ac:dyDescent="0.25">
      <c r="A505">
        <v>1997</v>
      </c>
      <c r="B505" t="s">
        <v>951</v>
      </c>
      <c r="C505">
        <v>48176</v>
      </c>
      <c r="D505" t="s">
        <v>952</v>
      </c>
      <c r="E505">
        <v>0</v>
      </c>
      <c r="F505" t="s">
        <v>16</v>
      </c>
      <c r="G505">
        <v>1</v>
      </c>
    </row>
    <row r="506" spans="1:7" x14ac:dyDescent="0.25">
      <c r="A506">
        <v>1987</v>
      </c>
      <c r="B506" t="s">
        <v>953</v>
      </c>
      <c r="C506">
        <v>48189</v>
      </c>
      <c r="D506" t="s">
        <v>18</v>
      </c>
      <c r="E506">
        <v>3</v>
      </c>
      <c r="F506" t="s">
        <v>18</v>
      </c>
      <c r="G506">
        <v>3</v>
      </c>
    </row>
    <row r="507" spans="1:7" x14ac:dyDescent="0.25">
      <c r="A507">
        <v>1976</v>
      </c>
      <c r="B507" t="s">
        <v>953</v>
      </c>
      <c r="C507">
        <v>48197</v>
      </c>
      <c r="D507" t="s">
        <v>952</v>
      </c>
      <c r="E507">
        <v>0</v>
      </c>
      <c r="F507" t="s">
        <v>16</v>
      </c>
      <c r="G507">
        <v>1</v>
      </c>
    </row>
    <row r="508" spans="1:7" x14ac:dyDescent="0.25">
      <c r="A508">
        <v>1995</v>
      </c>
      <c r="B508" t="s">
        <v>951</v>
      </c>
      <c r="C508">
        <v>48176</v>
      </c>
      <c r="D508" t="s">
        <v>952</v>
      </c>
      <c r="E508">
        <v>0</v>
      </c>
      <c r="F508" t="s">
        <v>16</v>
      </c>
      <c r="G508">
        <v>1</v>
      </c>
    </row>
    <row r="509" spans="1:7" x14ac:dyDescent="0.25">
      <c r="A509">
        <v>1993</v>
      </c>
      <c r="B509" t="s">
        <v>951</v>
      </c>
      <c r="C509">
        <v>48176</v>
      </c>
      <c r="D509" t="s">
        <v>16</v>
      </c>
      <c r="E509">
        <v>1</v>
      </c>
      <c r="F509" t="s">
        <v>16</v>
      </c>
      <c r="G509">
        <v>1</v>
      </c>
    </row>
    <row r="510" spans="1:7" x14ac:dyDescent="0.25">
      <c r="A510">
        <v>1975</v>
      </c>
      <c r="B510" t="s">
        <v>953</v>
      </c>
      <c r="C510">
        <v>48105</v>
      </c>
      <c r="D510" t="s">
        <v>18</v>
      </c>
      <c r="E510">
        <v>4</v>
      </c>
      <c r="F510" t="s">
        <v>18</v>
      </c>
      <c r="G510">
        <v>4</v>
      </c>
    </row>
    <row r="511" spans="1:7" x14ac:dyDescent="0.25">
      <c r="A511">
        <v>1992</v>
      </c>
      <c r="B511" t="s">
        <v>951</v>
      </c>
      <c r="C511">
        <v>48103</v>
      </c>
      <c r="D511" t="s">
        <v>16</v>
      </c>
      <c r="E511">
        <v>1</v>
      </c>
      <c r="F511" t="s">
        <v>16</v>
      </c>
      <c r="G511">
        <v>1</v>
      </c>
    </row>
    <row r="512" spans="1:7" x14ac:dyDescent="0.25">
      <c r="A512">
        <v>1984</v>
      </c>
      <c r="B512" t="s">
        <v>951</v>
      </c>
      <c r="C512">
        <v>48160</v>
      </c>
      <c r="D512" t="s">
        <v>18</v>
      </c>
      <c r="E512">
        <v>4</v>
      </c>
      <c r="F512" t="s">
        <v>18</v>
      </c>
      <c r="G512">
        <v>4</v>
      </c>
    </row>
    <row r="513" spans="1:7" x14ac:dyDescent="0.25">
      <c r="A513">
        <v>1994</v>
      </c>
      <c r="B513" t="s">
        <v>951</v>
      </c>
      <c r="C513">
        <v>48186</v>
      </c>
      <c r="D513" t="s">
        <v>17</v>
      </c>
      <c r="E513">
        <v>2</v>
      </c>
      <c r="F513" t="s">
        <v>17</v>
      </c>
      <c r="G513">
        <v>2</v>
      </c>
    </row>
    <row r="514" spans="1:7" x14ac:dyDescent="0.25">
      <c r="A514">
        <v>1994</v>
      </c>
      <c r="B514" t="s">
        <v>951</v>
      </c>
      <c r="C514">
        <v>48166</v>
      </c>
      <c r="D514" t="s">
        <v>952</v>
      </c>
      <c r="E514">
        <v>0</v>
      </c>
      <c r="F514" t="s">
        <v>16</v>
      </c>
      <c r="G514">
        <v>1</v>
      </c>
    </row>
    <row r="515" spans="1:7" x14ac:dyDescent="0.25">
      <c r="A515">
        <v>1992</v>
      </c>
      <c r="B515" t="s">
        <v>951</v>
      </c>
      <c r="C515">
        <v>48843</v>
      </c>
      <c r="D515" t="s">
        <v>16</v>
      </c>
      <c r="E515">
        <v>1</v>
      </c>
      <c r="F515" t="s">
        <v>16</v>
      </c>
      <c r="G515">
        <v>1</v>
      </c>
    </row>
    <row r="516" spans="1:7" x14ac:dyDescent="0.25">
      <c r="A516">
        <v>1991</v>
      </c>
      <c r="B516" t="s">
        <v>951</v>
      </c>
      <c r="C516">
        <v>48108</v>
      </c>
      <c r="D516" t="s">
        <v>16</v>
      </c>
      <c r="E516">
        <v>1</v>
      </c>
      <c r="F516" t="s">
        <v>16</v>
      </c>
      <c r="G516">
        <v>1</v>
      </c>
    </row>
    <row r="517" spans="1:7" x14ac:dyDescent="0.25">
      <c r="A517">
        <v>1990</v>
      </c>
      <c r="B517" t="s">
        <v>951</v>
      </c>
      <c r="C517">
        <v>48374</v>
      </c>
      <c r="D517" t="s">
        <v>16</v>
      </c>
      <c r="E517">
        <v>1</v>
      </c>
      <c r="F517" t="s">
        <v>16</v>
      </c>
      <c r="G517">
        <v>1</v>
      </c>
    </row>
    <row r="518" spans="1:7" x14ac:dyDescent="0.25">
      <c r="A518">
        <v>1994</v>
      </c>
      <c r="B518" t="s">
        <v>951</v>
      </c>
      <c r="C518">
        <v>48176</v>
      </c>
      <c r="D518" t="s">
        <v>16</v>
      </c>
      <c r="E518">
        <v>1</v>
      </c>
      <c r="F518" t="s">
        <v>16</v>
      </c>
      <c r="G518">
        <v>1</v>
      </c>
    </row>
    <row r="519" spans="1:7" x14ac:dyDescent="0.25">
      <c r="A519">
        <v>1982</v>
      </c>
      <c r="B519" t="s">
        <v>951</v>
      </c>
      <c r="C519">
        <v>48025</v>
      </c>
      <c r="D519" t="s">
        <v>18</v>
      </c>
      <c r="E519">
        <v>3</v>
      </c>
      <c r="F519" t="s">
        <v>18</v>
      </c>
      <c r="G519">
        <v>3</v>
      </c>
    </row>
    <row r="520" spans="1:7" x14ac:dyDescent="0.25">
      <c r="A520">
        <v>1977</v>
      </c>
      <c r="B520" t="s">
        <v>951</v>
      </c>
      <c r="C520">
        <v>48108</v>
      </c>
      <c r="D520" t="s">
        <v>18</v>
      </c>
      <c r="E520">
        <v>4</v>
      </c>
      <c r="F520" t="s">
        <v>18</v>
      </c>
      <c r="G520">
        <v>4</v>
      </c>
    </row>
    <row r="521" spans="1:7" x14ac:dyDescent="0.25">
      <c r="A521">
        <v>1976</v>
      </c>
      <c r="B521" t="s">
        <v>951</v>
      </c>
      <c r="C521">
        <v>49287</v>
      </c>
      <c r="D521" t="s">
        <v>952</v>
      </c>
      <c r="E521">
        <v>0</v>
      </c>
      <c r="F521" t="s">
        <v>16</v>
      </c>
      <c r="G521">
        <v>1</v>
      </c>
    </row>
    <row r="522" spans="1:7" x14ac:dyDescent="0.25">
      <c r="A522">
        <v>1991</v>
      </c>
      <c r="B522" t="s">
        <v>951</v>
      </c>
      <c r="C522">
        <v>49240</v>
      </c>
      <c r="D522" t="s">
        <v>18</v>
      </c>
      <c r="E522">
        <v>3</v>
      </c>
      <c r="F522" t="s">
        <v>18</v>
      </c>
      <c r="G522">
        <v>3</v>
      </c>
    </row>
    <row r="523" spans="1:7" x14ac:dyDescent="0.25">
      <c r="A523">
        <v>1982</v>
      </c>
      <c r="B523" t="s">
        <v>951</v>
      </c>
      <c r="C523">
        <v>48197</v>
      </c>
      <c r="D523" t="s">
        <v>18</v>
      </c>
      <c r="E523">
        <v>3</v>
      </c>
      <c r="F523" t="s">
        <v>18</v>
      </c>
      <c r="G523">
        <v>3</v>
      </c>
    </row>
    <row r="524" spans="1:7" x14ac:dyDescent="0.25">
      <c r="A524">
        <v>1959</v>
      </c>
      <c r="B524" t="s">
        <v>951</v>
      </c>
      <c r="C524">
        <v>48176</v>
      </c>
      <c r="D524" t="s">
        <v>16</v>
      </c>
      <c r="E524">
        <v>1</v>
      </c>
      <c r="F524" t="s">
        <v>16</v>
      </c>
      <c r="G524">
        <v>1</v>
      </c>
    </row>
    <row r="525" spans="1:7" x14ac:dyDescent="0.25">
      <c r="A525">
        <v>1976</v>
      </c>
      <c r="B525" t="s">
        <v>951</v>
      </c>
      <c r="C525">
        <v>48176</v>
      </c>
      <c r="D525" t="s">
        <v>952</v>
      </c>
      <c r="E525">
        <v>0</v>
      </c>
      <c r="F525" t="s">
        <v>16</v>
      </c>
      <c r="G525">
        <v>1</v>
      </c>
    </row>
    <row r="526" spans="1:7" x14ac:dyDescent="0.25">
      <c r="A526">
        <v>1975</v>
      </c>
      <c r="B526" t="s">
        <v>951</v>
      </c>
      <c r="C526">
        <v>48176</v>
      </c>
      <c r="D526" t="s">
        <v>952</v>
      </c>
      <c r="E526">
        <v>0</v>
      </c>
      <c r="F526" t="s">
        <v>16</v>
      </c>
      <c r="G526">
        <v>1</v>
      </c>
    </row>
    <row r="527" spans="1:7" x14ac:dyDescent="0.25">
      <c r="A527">
        <v>1993</v>
      </c>
      <c r="B527" t="s">
        <v>953</v>
      </c>
      <c r="C527">
        <v>48176</v>
      </c>
      <c r="D527" t="s">
        <v>16</v>
      </c>
      <c r="E527">
        <v>1</v>
      </c>
      <c r="F527" t="s">
        <v>16</v>
      </c>
      <c r="G527">
        <v>1</v>
      </c>
    </row>
    <row r="528" spans="1:7" x14ac:dyDescent="0.25">
      <c r="A528">
        <v>1998</v>
      </c>
      <c r="B528" t="s">
        <v>951</v>
      </c>
      <c r="C528">
        <v>48176</v>
      </c>
      <c r="D528" t="s">
        <v>952</v>
      </c>
      <c r="E528">
        <v>0</v>
      </c>
      <c r="F528" t="s">
        <v>16</v>
      </c>
      <c r="G528">
        <v>1</v>
      </c>
    </row>
    <row r="529" spans="1:7" x14ac:dyDescent="0.25">
      <c r="A529">
        <v>1982</v>
      </c>
      <c r="B529" t="s">
        <v>953</v>
      </c>
      <c r="C529">
        <v>48176</v>
      </c>
      <c r="D529" t="s">
        <v>952</v>
      </c>
      <c r="E529">
        <v>0</v>
      </c>
      <c r="F529" t="s">
        <v>16</v>
      </c>
      <c r="G529">
        <v>1</v>
      </c>
    </row>
    <row r="530" spans="1:7" x14ac:dyDescent="0.25">
      <c r="A530">
        <v>1971</v>
      </c>
      <c r="B530" t="s">
        <v>953</v>
      </c>
      <c r="C530">
        <v>48111</v>
      </c>
      <c r="D530" t="s">
        <v>952</v>
      </c>
      <c r="E530">
        <v>0</v>
      </c>
      <c r="F530" t="s">
        <v>16</v>
      </c>
      <c r="G530">
        <v>1</v>
      </c>
    </row>
    <row r="531" spans="1:7" x14ac:dyDescent="0.25">
      <c r="A531">
        <v>1983</v>
      </c>
      <c r="B531" t="s">
        <v>951</v>
      </c>
      <c r="C531">
        <v>48198</v>
      </c>
      <c r="D531" t="s">
        <v>952</v>
      </c>
      <c r="E531">
        <v>0</v>
      </c>
      <c r="F531" t="s">
        <v>16</v>
      </c>
      <c r="G531">
        <v>1</v>
      </c>
    </row>
    <row r="532" spans="1:7" x14ac:dyDescent="0.25">
      <c r="A532">
        <v>1966</v>
      </c>
      <c r="B532" t="s">
        <v>951</v>
      </c>
      <c r="C532">
        <v>48108</v>
      </c>
      <c r="D532" t="s">
        <v>16</v>
      </c>
      <c r="E532">
        <v>1</v>
      </c>
      <c r="F532" t="s">
        <v>16</v>
      </c>
      <c r="G532">
        <v>1</v>
      </c>
    </row>
    <row r="533" spans="1:7" x14ac:dyDescent="0.25">
      <c r="A533">
        <v>1998</v>
      </c>
      <c r="B533" t="s">
        <v>951</v>
      </c>
      <c r="C533">
        <v>48131</v>
      </c>
      <c r="D533" t="s">
        <v>952</v>
      </c>
      <c r="E533">
        <v>0</v>
      </c>
      <c r="F533" t="s">
        <v>16</v>
      </c>
      <c r="G533">
        <v>1</v>
      </c>
    </row>
    <row r="534" spans="1:7" x14ac:dyDescent="0.25">
      <c r="A534">
        <v>1957</v>
      </c>
      <c r="B534" t="s">
        <v>951</v>
      </c>
      <c r="C534">
        <v>49236</v>
      </c>
      <c r="D534" t="s">
        <v>952</v>
      </c>
      <c r="E534">
        <v>0</v>
      </c>
      <c r="F534" t="s">
        <v>16</v>
      </c>
      <c r="G534">
        <v>1</v>
      </c>
    </row>
    <row r="535" spans="1:7" x14ac:dyDescent="0.25">
      <c r="A535">
        <v>1980</v>
      </c>
      <c r="B535" t="s">
        <v>951</v>
      </c>
      <c r="C535">
        <v>48176</v>
      </c>
      <c r="D535" t="s">
        <v>16</v>
      </c>
      <c r="E535">
        <v>1</v>
      </c>
      <c r="F535" t="s">
        <v>16</v>
      </c>
      <c r="G535">
        <v>1</v>
      </c>
    </row>
    <row r="536" spans="1:7" x14ac:dyDescent="0.25">
      <c r="A536">
        <v>1984</v>
      </c>
      <c r="B536" t="s">
        <v>951</v>
      </c>
      <c r="C536">
        <v>49236</v>
      </c>
      <c r="D536" t="s">
        <v>952</v>
      </c>
      <c r="E536">
        <v>0</v>
      </c>
      <c r="F536" t="s">
        <v>16</v>
      </c>
      <c r="G536">
        <v>1</v>
      </c>
    </row>
    <row r="537" spans="1:7" x14ac:dyDescent="0.25">
      <c r="A537">
        <v>1966</v>
      </c>
      <c r="B537" t="s">
        <v>953</v>
      </c>
      <c r="C537">
        <v>48176</v>
      </c>
      <c r="D537" t="s">
        <v>952</v>
      </c>
      <c r="E537">
        <v>0</v>
      </c>
      <c r="F537" t="s">
        <v>18</v>
      </c>
      <c r="G537">
        <v>4</v>
      </c>
    </row>
    <row r="538" spans="1:7" x14ac:dyDescent="0.25">
      <c r="A538">
        <v>1960</v>
      </c>
      <c r="B538" t="s">
        <v>951</v>
      </c>
      <c r="C538">
        <v>49286</v>
      </c>
      <c r="D538" t="s">
        <v>952</v>
      </c>
      <c r="E538">
        <v>0</v>
      </c>
      <c r="F538" t="s">
        <v>17</v>
      </c>
      <c r="G538">
        <v>2</v>
      </c>
    </row>
    <row r="539" spans="1:7" x14ac:dyDescent="0.25">
      <c r="A539">
        <v>1992</v>
      </c>
      <c r="B539" t="s">
        <v>953</v>
      </c>
      <c r="C539">
        <v>48197</v>
      </c>
      <c r="D539" t="s">
        <v>16</v>
      </c>
      <c r="E539">
        <v>1</v>
      </c>
      <c r="F539" t="s">
        <v>16</v>
      </c>
      <c r="G539">
        <v>1</v>
      </c>
    </row>
    <row r="540" spans="1:7" x14ac:dyDescent="0.25">
      <c r="A540">
        <v>1993</v>
      </c>
      <c r="B540" t="s">
        <v>951</v>
      </c>
      <c r="C540">
        <v>48197</v>
      </c>
      <c r="D540" t="s">
        <v>952</v>
      </c>
      <c r="E540">
        <v>0</v>
      </c>
      <c r="F540" t="s">
        <v>16</v>
      </c>
      <c r="G540">
        <v>1</v>
      </c>
    </row>
    <row r="541" spans="1:7" x14ac:dyDescent="0.25">
      <c r="A541">
        <v>1969</v>
      </c>
      <c r="B541" t="s">
        <v>953</v>
      </c>
      <c r="C541">
        <v>48170</v>
      </c>
      <c r="D541" t="s">
        <v>952</v>
      </c>
      <c r="E541">
        <v>0</v>
      </c>
      <c r="F541" t="s">
        <v>16</v>
      </c>
      <c r="G541">
        <v>1</v>
      </c>
    </row>
    <row r="542" spans="1:7" x14ac:dyDescent="0.25">
      <c r="A542">
        <v>1991</v>
      </c>
      <c r="B542" t="s">
        <v>953</v>
      </c>
      <c r="C542">
        <v>48176</v>
      </c>
      <c r="D542" t="s">
        <v>16</v>
      </c>
      <c r="E542">
        <v>1</v>
      </c>
      <c r="F542" t="s">
        <v>16</v>
      </c>
      <c r="G542">
        <v>1</v>
      </c>
    </row>
    <row r="543" spans="1:7" x14ac:dyDescent="0.25">
      <c r="A543">
        <v>1959</v>
      </c>
      <c r="B543" t="s">
        <v>953</v>
      </c>
      <c r="C543">
        <v>48176</v>
      </c>
      <c r="D543" t="s">
        <v>952</v>
      </c>
      <c r="E543">
        <v>0</v>
      </c>
      <c r="F543" t="s">
        <v>16</v>
      </c>
      <c r="G543">
        <v>1</v>
      </c>
    </row>
    <row r="544" spans="1:7" x14ac:dyDescent="0.25">
      <c r="A544">
        <v>1961</v>
      </c>
      <c r="B544" t="s">
        <v>953</v>
      </c>
      <c r="C544">
        <v>48105</v>
      </c>
      <c r="D544" t="s">
        <v>952</v>
      </c>
      <c r="E544">
        <v>0</v>
      </c>
      <c r="F544" t="s">
        <v>17</v>
      </c>
      <c r="G544">
        <v>2</v>
      </c>
    </row>
    <row r="545" spans="1:7" x14ac:dyDescent="0.25">
      <c r="A545">
        <v>1976</v>
      </c>
      <c r="B545" t="s">
        <v>951</v>
      </c>
      <c r="C545">
        <v>48176</v>
      </c>
      <c r="D545" t="s">
        <v>18</v>
      </c>
      <c r="E545">
        <v>4</v>
      </c>
      <c r="F545" t="s">
        <v>18</v>
      </c>
      <c r="G545">
        <v>4</v>
      </c>
    </row>
    <row r="546" spans="1:7" x14ac:dyDescent="0.25">
      <c r="A546">
        <v>1981</v>
      </c>
      <c r="B546" t="s">
        <v>953</v>
      </c>
      <c r="C546">
        <v>48108</v>
      </c>
      <c r="D546" t="s">
        <v>18</v>
      </c>
      <c r="E546">
        <v>3</v>
      </c>
      <c r="F546" t="s">
        <v>18</v>
      </c>
      <c r="G546">
        <v>3</v>
      </c>
    </row>
    <row r="547" spans="1:7" x14ac:dyDescent="0.25">
      <c r="A547">
        <v>1990</v>
      </c>
      <c r="B547" t="s">
        <v>951</v>
      </c>
      <c r="C547">
        <v>48176</v>
      </c>
      <c r="D547" t="s">
        <v>16</v>
      </c>
      <c r="E547">
        <v>1</v>
      </c>
      <c r="F547" t="s">
        <v>16</v>
      </c>
      <c r="G547">
        <v>1</v>
      </c>
    </row>
    <row r="548" spans="1:7" x14ac:dyDescent="0.25">
      <c r="A548">
        <v>1995</v>
      </c>
      <c r="B548" t="s">
        <v>953</v>
      </c>
      <c r="C548">
        <v>48176</v>
      </c>
      <c r="D548" t="s">
        <v>952</v>
      </c>
      <c r="E548">
        <v>0</v>
      </c>
      <c r="F548" t="s">
        <v>16</v>
      </c>
      <c r="G548">
        <v>1</v>
      </c>
    </row>
    <row r="549" spans="1:7" x14ac:dyDescent="0.25">
      <c r="A549">
        <v>1987</v>
      </c>
      <c r="B549" t="s">
        <v>951</v>
      </c>
      <c r="C549">
        <v>48187</v>
      </c>
      <c r="D549" t="s">
        <v>952</v>
      </c>
      <c r="E549">
        <v>0</v>
      </c>
      <c r="F549" t="s">
        <v>16</v>
      </c>
      <c r="G549">
        <v>1</v>
      </c>
    </row>
    <row r="550" spans="1:7" x14ac:dyDescent="0.25">
      <c r="A550">
        <v>1985</v>
      </c>
      <c r="B550" t="s">
        <v>953</v>
      </c>
      <c r="C550">
        <v>48108</v>
      </c>
      <c r="D550" t="s">
        <v>952</v>
      </c>
      <c r="E550">
        <v>0</v>
      </c>
      <c r="F550" t="s">
        <v>16</v>
      </c>
      <c r="G550">
        <v>1</v>
      </c>
    </row>
    <row r="551" spans="1:7" x14ac:dyDescent="0.25">
      <c r="A551">
        <v>1994</v>
      </c>
      <c r="B551" t="s">
        <v>951</v>
      </c>
      <c r="C551">
        <v>48160</v>
      </c>
      <c r="D551" t="s">
        <v>16</v>
      </c>
      <c r="E551">
        <v>1</v>
      </c>
      <c r="F551" t="s">
        <v>16</v>
      </c>
      <c r="G551">
        <v>1</v>
      </c>
    </row>
    <row r="552" spans="1:7" x14ac:dyDescent="0.25">
      <c r="A552">
        <v>1987</v>
      </c>
      <c r="B552" t="s">
        <v>953</v>
      </c>
      <c r="C552">
        <v>48191</v>
      </c>
      <c r="D552" t="s">
        <v>952</v>
      </c>
      <c r="E552">
        <v>0</v>
      </c>
      <c r="F552" t="s">
        <v>16</v>
      </c>
      <c r="G552">
        <v>1</v>
      </c>
    </row>
    <row r="553" spans="1:7" x14ac:dyDescent="0.25">
      <c r="A553">
        <v>1986</v>
      </c>
      <c r="B553" t="s">
        <v>951</v>
      </c>
      <c r="C553">
        <v>48108</v>
      </c>
      <c r="D553" t="s">
        <v>952</v>
      </c>
      <c r="E553">
        <v>0</v>
      </c>
      <c r="F553" t="s">
        <v>18</v>
      </c>
      <c r="G553">
        <v>3</v>
      </c>
    </row>
    <row r="554" spans="1:7" x14ac:dyDescent="0.25">
      <c r="A554">
        <v>1991</v>
      </c>
      <c r="B554" t="s">
        <v>951</v>
      </c>
      <c r="C554">
        <v>43558</v>
      </c>
      <c r="D554" t="s">
        <v>16</v>
      </c>
      <c r="E554">
        <v>1</v>
      </c>
      <c r="F554" t="s">
        <v>16</v>
      </c>
      <c r="G554">
        <v>1</v>
      </c>
    </row>
    <row r="555" spans="1:7" x14ac:dyDescent="0.25">
      <c r="A555">
        <v>1991</v>
      </c>
      <c r="B555" t="s">
        <v>951</v>
      </c>
      <c r="C555">
        <v>48130</v>
      </c>
      <c r="D555" t="s">
        <v>16</v>
      </c>
      <c r="E555">
        <v>1</v>
      </c>
      <c r="F555" t="s">
        <v>16</v>
      </c>
      <c r="G555">
        <v>1</v>
      </c>
    </row>
    <row r="556" spans="1:7" x14ac:dyDescent="0.25">
      <c r="A556">
        <v>1994</v>
      </c>
      <c r="B556" t="s">
        <v>951</v>
      </c>
      <c r="C556">
        <v>48178</v>
      </c>
      <c r="D556" t="s">
        <v>952</v>
      </c>
      <c r="E556">
        <v>0</v>
      </c>
      <c r="F556" t="s">
        <v>16</v>
      </c>
      <c r="G556">
        <v>1</v>
      </c>
    </row>
    <row r="557" spans="1:7" x14ac:dyDescent="0.25">
      <c r="A557">
        <v>1980</v>
      </c>
      <c r="B557" t="s">
        <v>951</v>
      </c>
      <c r="C557">
        <v>48176</v>
      </c>
      <c r="D557" t="s">
        <v>952</v>
      </c>
      <c r="E557">
        <v>0</v>
      </c>
      <c r="F557" t="s">
        <v>18</v>
      </c>
      <c r="G557">
        <v>6</v>
      </c>
    </row>
    <row r="558" spans="1:7" x14ac:dyDescent="0.25">
      <c r="A558">
        <v>1994</v>
      </c>
      <c r="B558" t="s">
        <v>951</v>
      </c>
      <c r="C558">
        <v>48326</v>
      </c>
      <c r="D558" t="s">
        <v>952</v>
      </c>
      <c r="E558">
        <v>0</v>
      </c>
      <c r="F558" t="s">
        <v>16</v>
      </c>
      <c r="G558">
        <v>1</v>
      </c>
    </row>
    <row r="559" spans="1:7" x14ac:dyDescent="0.25">
      <c r="A559">
        <v>1993</v>
      </c>
      <c r="B559" t="s">
        <v>951</v>
      </c>
      <c r="C559">
        <v>48103</v>
      </c>
      <c r="D559" t="s">
        <v>16</v>
      </c>
      <c r="E559">
        <v>1</v>
      </c>
      <c r="F559" t="s">
        <v>16</v>
      </c>
      <c r="G559">
        <v>1</v>
      </c>
    </row>
    <row r="560" spans="1:7" x14ac:dyDescent="0.25">
      <c r="A560">
        <v>1996</v>
      </c>
      <c r="B560" t="s">
        <v>951</v>
      </c>
      <c r="C560">
        <v>48108</v>
      </c>
      <c r="D560" t="s">
        <v>16</v>
      </c>
      <c r="E560">
        <v>1</v>
      </c>
      <c r="F560" t="s">
        <v>16</v>
      </c>
      <c r="G560">
        <v>1</v>
      </c>
    </row>
    <row r="561" spans="1:7" x14ac:dyDescent="0.25">
      <c r="A561">
        <v>1987</v>
      </c>
      <c r="B561" t="s">
        <v>953</v>
      </c>
      <c r="C561">
        <v>43566</v>
      </c>
      <c r="D561" t="s">
        <v>18</v>
      </c>
      <c r="E561">
        <v>3</v>
      </c>
      <c r="F561" t="s">
        <v>18</v>
      </c>
      <c r="G561">
        <v>3</v>
      </c>
    </row>
    <row r="562" spans="1:7" x14ac:dyDescent="0.25">
      <c r="A562">
        <v>1988</v>
      </c>
      <c r="B562" t="s">
        <v>953</v>
      </c>
      <c r="C562">
        <v>48197</v>
      </c>
      <c r="D562" t="s">
        <v>16</v>
      </c>
      <c r="E562">
        <v>1</v>
      </c>
      <c r="F562" t="s">
        <v>16</v>
      </c>
      <c r="G562">
        <v>1</v>
      </c>
    </row>
    <row r="563" spans="1:7" x14ac:dyDescent="0.25">
      <c r="A563">
        <v>1996</v>
      </c>
      <c r="B563" t="s">
        <v>951</v>
      </c>
      <c r="C563">
        <v>49015</v>
      </c>
      <c r="D563" t="s">
        <v>952</v>
      </c>
      <c r="E563">
        <v>0</v>
      </c>
      <c r="F563" t="s">
        <v>16</v>
      </c>
      <c r="G563">
        <v>1</v>
      </c>
    </row>
    <row r="564" spans="1:7" x14ac:dyDescent="0.25">
      <c r="A564">
        <v>1993</v>
      </c>
      <c r="B564" t="s">
        <v>953</v>
      </c>
      <c r="C564">
        <v>48105</v>
      </c>
      <c r="D564" t="s">
        <v>16</v>
      </c>
      <c r="E564">
        <v>1</v>
      </c>
      <c r="F564" t="s">
        <v>16</v>
      </c>
      <c r="G564">
        <v>1</v>
      </c>
    </row>
    <row r="565" spans="1:7" x14ac:dyDescent="0.25">
      <c r="A565">
        <v>1965</v>
      </c>
      <c r="B565" t="s">
        <v>951</v>
      </c>
      <c r="C565">
        <v>48176</v>
      </c>
      <c r="D565" t="s">
        <v>18</v>
      </c>
      <c r="E565">
        <v>3</v>
      </c>
      <c r="F565" t="s">
        <v>18</v>
      </c>
      <c r="G565">
        <v>3</v>
      </c>
    </row>
    <row r="566" spans="1:7" x14ac:dyDescent="0.25">
      <c r="A566">
        <v>1973</v>
      </c>
      <c r="B566" t="s">
        <v>951</v>
      </c>
      <c r="C566">
        <v>48160</v>
      </c>
      <c r="D566" t="s">
        <v>18</v>
      </c>
      <c r="E566">
        <v>5</v>
      </c>
      <c r="F566" t="s">
        <v>18</v>
      </c>
      <c r="G566">
        <v>5</v>
      </c>
    </row>
    <row r="567" spans="1:7" x14ac:dyDescent="0.25">
      <c r="A567">
        <v>1978</v>
      </c>
      <c r="B567" t="s">
        <v>951</v>
      </c>
      <c r="C567">
        <v>48176</v>
      </c>
      <c r="D567" t="s">
        <v>18</v>
      </c>
      <c r="E567">
        <v>4</v>
      </c>
      <c r="F567" t="s">
        <v>18</v>
      </c>
      <c r="G567">
        <v>4</v>
      </c>
    </row>
    <row r="568" spans="1:7" x14ac:dyDescent="0.25">
      <c r="A568">
        <v>1994</v>
      </c>
      <c r="B568" t="s">
        <v>953</v>
      </c>
      <c r="C568">
        <v>48104</v>
      </c>
      <c r="D568" t="s">
        <v>952</v>
      </c>
      <c r="E568">
        <v>0</v>
      </c>
      <c r="F568" t="s">
        <v>16</v>
      </c>
      <c r="G568">
        <v>1</v>
      </c>
    </row>
    <row r="569" spans="1:7" x14ac:dyDescent="0.25">
      <c r="A569">
        <v>1960</v>
      </c>
      <c r="B569" t="s">
        <v>951</v>
      </c>
      <c r="C569">
        <v>48160</v>
      </c>
      <c r="D569" t="s">
        <v>17</v>
      </c>
      <c r="E569">
        <v>2</v>
      </c>
      <c r="F569" t="s">
        <v>17</v>
      </c>
      <c r="G569">
        <v>2</v>
      </c>
    </row>
    <row r="570" spans="1:7" x14ac:dyDescent="0.25">
      <c r="A570">
        <v>1949</v>
      </c>
      <c r="B570" t="s">
        <v>951</v>
      </c>
      <c r="C570">
        <v>48176</v>
      </c>
      <c r="D570" t="s">
        <v>17</v>
      </c>
      <c r="E570">
        <v>2</v>
      </c>
      <c r="F570" t="s">
        <v>17</v>
      </c>
      <c r="G570">
        <v>2</v>
      </c>
    </row>
    <row r="571" spans="1:7" x14ac:dyDescent="0.25">
      <c r="A571">
        <v>1974</v>
      </c>
      <c r="B571" t="s">
        <v>951</v>
      </c>
      <c r="C571">
        <v>49236</v>
      </c>
      <c r="D571" t="s">
        <v>18</v>
      </c>
      <c r="E571">
        <v>4</v>
      </c>
      <c r="F571" t="s">
        <v>18</v>
      </c>
      <c r="G571">
        <v>4</v>
      </c>
    </row>
    <row r="572" spans="1:7" x14ac:dyDescent="0.25">
      <c r="A572">
        <v>1988</v>
      </c>
      <c r="B572" t="s">
        <v>951</v>
      </c>
      <c r="C572">
        <v>49236</v>
      </c>
      <c r="D572" t="s">
        <v>16</v>
      </c>
      <c r="E572">
        <v>1</v>
      </c>
      <c r="F572" t="s">
        <v>16</v>
      </c>
      <c r="G572">
        <v>1</v>
      </c>
    </row>
    <row r="573" spans="1:7" x14ac:dyDescent="0.25">
      <c r="A573">
        <v>1989</v>
      </c>
      <c r="B573" t="s">
        <v>953</v>
      </c>
      <c r="C573">
        <v>49240</v>
      </c>
      <c r="D573" t="s">
        <v>16</v>
      </c>
      <c r="E573">
        <v>1</v>
      </c>
      <c r="F573" t="s">
        <v>16</v>
      </c>
      <c r="G573">
        <v>1</v>
      </c>
    </row>
    <row r="574" spans="1:7" x14ac:dyDescent="0.25">
      <c r="A574">
        <v>1973</v>
      </c>
      <c r="B574" t="s">
        <v>951</v>
      </c>
      <c r="C574">
        <v>48111</v>
      </c>
      <c r="D574" t="s">
        <v>18</v>
      </c>
      <c r="E574">
        <v>6</v>
      </c>
      <c r="F574" t="s">
        <v>18</v>
      </c>
      <c r="G574">
        <v>6</v>
      </c>
    </row>
    <row r="575" spans="1:7" x14ac:dyDescent="0.25">
      <c r="A575">
        <v>1995</v>
      </c>
      <c r="B575" t="s">
        <v>951</v>
      </c>
      <c r="C575">
        <v>48103</v>
      </c>
      <c r="D575" t="s">
        <v>17</v>
      </c>
      <c r="E575">
        <v>2</v>
      </c>
      <c r="F575" t="s">
        <v>17</v>
      </c>
      <c r="G575">
        <v>2</v>
      </c>
    </row>
    <row r="576" spans="1:7" x14ac:dyDescent="0.25">
      <c r="A576">
        <v>1996</v>
      </c>
      <c r="B576" t="s">
        <v>951</v>
      </c>
      <c r="C576">
        <v>48322</v>
      </c>
      <c r="D576" t="s">
        <v>952</v>
      </c>
      <c r="E576">
        <v>0</v>
      </c>
      <c r="F576" t="s">
        <v>16</v>
      </c>
      <c r="G576">
        <v>1</v>
      </c>
    </row>
    <row r="577" spans="1:7" x14ac:dyDescent="0.25">
      <c r="A577">
        <v>1996</v>
      </c>
      <c r="B577" t="s">
        <v>951</v>
      </c>
      <c r="C577">
        <v>49236</v>
      </c>
      <c r="D577" t="s">
        <v>16</v>
      </c>
      <c r="E577">
        <v>1</v>
      </c>
      <c r="F577" t="s">
        <v>16</v>
      </c>
      <c r="G577">
        <v>1</v>
      </c>
    </row>
    <row r="578" spans="1:7" x14ac:dyDescent="0.25">
      <c r="A578">
        <v>1992</v>
      </c>
      <c r="B578" t="s">
        <v>951</v>
      </c>
      <c r="C578">
        <v>48176</v>
      </c>
      <c r="D578" t="s">
        <v>16</v>
      </c>
      <c r="E578">
        <v>1</v>
      </c>
      <c r="F578" t="s">
        <v>16</v>
      </c>
      <c r="G578">
        <v>1</v>
      </c>
    </row>
    <row r="579" spans="1:7" x14ac:dyDescent="0.25">
      <c r="A579">
        <v>1999</v>
      </c>
      <c r="B579" t="s">
        <v>953</v>
      </c>
      <c r="C579">
        <v>48176</v>
      </c>
      <c r="D579" t="s">
        <v>16</v>
      </c>
      <c r="E579">
        <v>1</v>
      </c>
      <c r="F579" t="s">
        <v>16</v>
      </c>
      <c r="G579">
        <v>1</v>
      </c>
    </row>
    <row r="580" spans="1:7" x14ac:dyDescent="0.25">
      <c r="A580">
        <v>1979</v>
      </c>
      <c r="B580" t="s">
        <v>951</v>
      </c>
      <c r="C580">
        <v>48176</v>
      </c>
      <c r="D580" t="s">
        <v>952</v>
      </c>
      <c r="E580">
        <v>0</v>
      </c>
      <c r="F580" t="s">
        <v>16</v>
      </c>
      <c r="G580">
        <v>1</v>
      </c>
    </row>
    <row r="581" spans="1:7" x14ac:dyDescent="0.25">
      <c r="A581">
        <v>1959</v>
      </c>
      <c r="B581" t="s">
        <v>951</v>
      </c>
      <c r="C581">
        <v>48176</v>
      </c>
      <c r="D581" t="s">
        <v>16</v>
      </c>
      <c r="E581">
        <v>1</v>
      </c>
      <c r="F581" t="s">
        <v>16</v>
      </c>
      <c r="G581">
        <v>1</v>
      </c>
    </row>
    <row r="582" spans="1:7" x14ac:dyDescent="0.25">
      <c r="A582">
        <v>1990</v>
      </c>
      <c r="B582" t="s">
        <v>951</v>
      </c>
      <c r="C582">
        <v>48176</v>
      </c>
      <c r="D582" t="s">
        <v>16</v>
      </c>
      <c r="E582">
        <v>1</v>
      </c>
      <c r="F582" t="s">
        <v>16</v>
      </c>
      <c r="G582">
        <v>1</v>
      </c>
    </row>
    <row r="583" spans="1:7" x14ac:dyDescent="0.25">
      <c r="A583">
        <v>1985</v>
      </c>
      <c r="B583" t="s">
        <v>951</v>
      </c>
      <c r="C583">
        <v>48176</v>
      </c>
      <c r="D583" t="s">
        <v>18</v>
      </c>
      <c r="E583">
        <v>5</v>
      </c>
      <c r="F583" t="s">
        <v>18</v>
      </c>
      <c r="G583">
        <v>5</v>
      </c>
    </row>
    <row r="584" spans="1:7" x14ac:dyDescent="0.25">
      <c r="A584">
        <v>1970</v>
      </c>
      <c r="B584" t="s">
        <v>951</v>
      </c>
      <c r="C584">
        <v>48176</v>
      </c>
      <c r="D584" t="s">
        <v>952</v>
      </c>
      <c r="E584">
        <v>0</v>
      </c>
      <c r="F584" t="s">
        <v>18</v>
      </c>
      <c r="G584">
        <v>5</v>
      </c>
    </row>
    <row r="585" spans="1:7" x14ac:dyDescent="0.25">
      <c r="A585">
        <v>1974</v>
      </c>
      <c r="B585" t="s">
        <v>951</v>
      </c>
      <c r="C585">
        <v>48197</v>
      </c>
      <c r="D585" t="s">
        <v>952</v>
      </c>
      <c r="E585">
        <v>0</v>
      </c>
      <c r="F585" t="s">
        <v>16</v>
      </c>
      <c r="G585">
        <v>1</v>
      </c>
    </row>
    <row r="586" spans="1:7" x14ac:dyDescent="0.25">
      <c r="A586">
        <v>1978</v>
      </c>
      <c r="B586" t="s">
        <v>953</v>
      </c>
      <c r="C586">
        <v>49236</v>
      </c>
      <c r="D586" t="s">
        <v>952</v>
      </c>
      <c r="E586">
        <v>0</v>
      </c>
      <c r="F586" t="s">
        <v>16</v>
      </c>
      <c r="G586">
        <v>1</v>
      </c>
    </row>
    <row r="587" spans="1:7" x14ac:dyDescent="0.25">
      <c r="A587">
        <v>1998</v>
      </c>
      <c r="B587" t="s">
        <v>951</v>
      </c>
      <c r="C587">
        <v>49236</v>
      </c>
      <c r="D587" t="s">
        <v>952</v>
      </c>
      <c r="E587">
        <v>0</v>
      </c>
      <c r="F587" t="s">
        <v>16</v>
      </c>
      <c r="G587">
        <v>1</v>
      </c>
    </row>
    <row r="588" spans="1:7" x14ac:dyDescent="0.25">
      <c r="A588">
        <v>1976</v>
      </c>
      <c r="B588" t="s">
        <v>951</v>
      </c>
      <c r="C588">
        <v>49229</v>
      </c>
      <c r="D588" t="s">
        <v>952</v>
      </c>
      <c r="E588">
        <v>0</v>
      </c>
      <c r="F588" t="s">
        <v>16</v>
      </c>
      <c r="G588">
        <v>1</v>
      </c>
    </row>
    <row r="589" spans="1:7" x14ac:dyDescent="0.25">
      <c r="A589">
        <v>1975</v>
      </c>
      <c r="B589" t="s">
        <v>951</v>
      </c>
      <c r="C589">
        <v>48197</v>
      </c>
      <c r="D589" t="s">
        <v>952</v>
      </c>
      <c r="E589">
        <v>0</v>
      </c>
      <c r="F589" t="s">
        <v>16</v>
      </c>
      <c r="G589">
        <v>1</v>
      </c>
    </row>
    <row r="590" spans="1:7" x14ac:dyDescent="0.25">
      <c r="A590">
        <v>1956</v>
      </c>
      <c r="B590" t="s">
        <v>951</v>
      </c>
      <c r="C590">
        <v>48176</v>
      </c>
      <c r="D590" t="s">
        <v>952</v>
      </c>
      <c r="E590">
        <v>0</v>
      </c>
      <c r="F590" t="s">
        <v>16</v>
      </c>
      <c r="G590">
        <v>1</v>
      </c>
    </row>
    <row r="591" spans="1:7" x14ac:dyDescent="0.25">
      <c r="A591">
        <v>1986</v>
      </c>
      <c r="B591" t="s">
        <v>953</v>
      </c>
      <c r="C591">
        <v>48160</v>
      </c>
      <c r="D591" t="s">
        <v>952</v>
      </c>
      <c r="E591">
        <v>0</v>
      </c>
      <c r="F591" t="s">
        <v>16</v>
      </c>
      <c r="G591">
        <v>1</v>
      </c>
    </row>
    <row r="592" spans="1:7" x14ac:dyDescent="0.25">
      <c r="A592">
        <v>1968</v>
      </c>
      <c r="B592" t="s">
        <v>953</v>
      </c>
      <c r="C592">
        <v>48176</v>
      </c>
      <c r="D592" t="s">
        <v>952</v>
      </c>
      <c r="E592">
        <v>0</v>
      </c>
      <c r="F592" t="s">
        <v>16</v>
      </c>
      <c r="G592">
        <v>1</v>
      </c>
    </row>
    <row r="593" spans="1:7" x14ac:dyDescent="0.25">
      <c r="A593">
        <v>1962</v>
      </c>
      <c r="B593" t="s">
        <v>953</v>
      </c>
      <c r="C593">
        <v>48160</v>
      </c>
      <c r="D593" t="s">
        <v>952</v>
      </c>
      <c r="E593">
        <v>0</v>
      </c>
      <c r="F593" t="s">
        <v>16</v>
      </c>
      <c r="G593">
        <v>1</v>
      </c>
    </row>
    <row r="594" spans="1:7" x14ac:dyDescent="0.25">
      <c r="A594">
        <v>1963</v>
      </c>
      <c r="B594" t="s">
        <v>951</v>
      </c>
      <c r="C594">
        <v>48176</v>
      </c>
      <c r="D594" t="s">
        <v>952</v>
      </c>
      <c r="E594">
        <v>0</v>
      </c>
      <c r="F594" t="s">
        <v>16</v>
      </c>
      <c r="G594">
        <v>1</v>
      </c>
    </row>
    <row r="595" spans="1:7" x14ac:dyDescent="0.25">
      <c r="A595">
        <v>1996</v>
      </c>
      <c r="B595" t="s">
        <v>953</v>
      </c>
      <c r="C595">
        <v>48108</v>
      </c>
      <c r="D595" t="s">
        <v>952</v>
      </c>
      <c r="E595">
        <v>0</v>
      </c>
      <c r="F595" t="s">
        <v>16</v>
      </c>
      <c r="G59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FC28E-79B3-4A31-A2A3-06AFDB5AD5BB}">
  <sheetPr codeName="Sheet42"/>
  <dimension ref="A1:F129"/>
  <sheetViews>
    <sheetView workbookViewId="0">
      <selection sqref="A1:XFD1048576"/>
    </sheetView>
  </sheetViews>
  <sheetFormatPr defaultRowHeight="15" x14ac:dyDescent="0.25"/>
  <sheetData>
    <row r="1" spans="1:6" x14ac:dyDescent="0.25">
      <c r="A1" t="s">
        <v>46</v>
      </c>
      <c r="B1" t="s">
        <v>47</v>
      </c>
      <c r="C1" t="s">
        <v>48</v>
      </c>
      <c r="D1" t="s">
        <v>49</v>
      </c>
      <c r="E1" t="s">
        <v>50</v>
      </c>
      <c r="F1" t="s">
        <v>51</v>
      </c>
    </row>
    <row r="2" spans="1:6" x14ac:dyDescent="0.25">
      <c r="A2" t="s">
        <v>52</v>
      </c>
      <c r="B2" t="s">
        <v>954</v>
      </c>
      <c r="C2" t="s">
        <v>54</v>
      </c>
      <c r="D2" t="s">
        <v>54</v>
      </c>
      <c r="E2" t="s">
        <v>55</v>
      </c>
      <c r="F2" t="s">
        <v>56</v>
      </c>
    </row>
    <row r="4" spans="1:6" x14ac:dyDescent="0.25">
      <c r="A4" t="s">
        <v>955</v>
      </c>
      <c r="B4" t="s">
        <v>956</v>
      </c>
      <c r="C4" t="s">
        <v>957</v>
      </c>
      <c r="D4" t="s">
        <v>958</v>
      </c>
    </row>
    <row r="5" spans="1:6" x14ac:dyDescent="0.25">
      <c r="A5" t="s">
        <v>959</v>
      </c>
      <c r="B5" t="s">
        <v>960</v>
      </c>
      <c r="C5">
        <v>1</v>
      </c>
      <c r="D5" s="57">
        <v>11445.7</v>
      </c>
    </row>
    <row r="6" spans="1:6" x14ac:dyDescent="0.25">
      <c r="A6" t="s">
        <v>959</v>
      </c>
      <c r="B6" t="s">
        <v>961</v>
      </c>
      <c r="C6">
        <v>23</v>
      </c>
      <c r="D6" s="57">
        <v>525.86</v>
      </c>
    </row>
    <row r="7" spans="1:6" x14ac:dyDescent="0.25">
      <c r="A7" t="s">
        <v>959</v>
      </c>
      <c r="B7" t="s">
        <v>962</v>
      </c>
      <c r="C7">
        <v>94</v>
      </c>
      <c r="D7" s="57">
        <v>11296.03</v>
      </c>
    </row>
    <row r="8" spans="1:6" x14ac:dyDescent="0.25">
      <c r="A8" t="s">
        <v>959</v>
      </c>
      <c r="B8" t="s">
        <v>963</v>
      </c>
      <c r="C8">
        <v>5</v>
      </c>
      <c r="D8" s="57">
        <v>1147.04</v>
      </c>
    </row>
    <row r="9" spans="1:6" x14ac:dyDescent="0.25">
      <c r="A9" t="s">
        <v>959</v>
      </c>
      <c r="B9" t="s">
        <v>964</v>
      </c>
      <c r="C9">
        <v>34</v>
      </c>
      <c r="D9" s="57">
        <v>2983.63</v>
      </c>
    </row>
    <row r="10" spans="1:6" x14ac:dyDescent="0.25">
      <c r="A10" t="s">
        <v>965</v>
      </c>
      <c r="B10" t="s">
        <v>960</v>
      </c>
      <c r="C10">
        <v>9</v>
      </c>
      <c r="D10" s="57">
        <v>572317.05000000005</v>
      </c>
    </row>
    <row r="11" spans="1:6" x14ac:dyDescent="0.25">
      <c r="A11" t="s">
        <v>965</v>
      </c>
      <c r="B11" t="s">
        <v>961</v>
      </c>
      <c r="C11">
        <v>227</v>
      </c>
      <c r="D11" s="57">
        <v>17257.22</v>
      </c>
    </row>
    <row r="12" spans="1:6" x14ac:dyDescent="0.25">
      <c r="A12" t="s">
        <v>965</v>
      </c>
      <c r="B12" t="s">
        <v>962</v>
      </c>
      <c r="C12">
        <v>955</v>
      </c>
      <c r="D12" s="57">
        <v>90552.66</v>
      </c>
    </row>
    <row r="13" spans="1:6" x14ac:dyDescent="0.25">
      <c r="A13" t="s">
        <v>965</v>
      </c>
      <c r="B13" t="s">
        <v>963</v>
      </c>
      <c r="C13">
        <v>37</v>
      </c>
      <c r="D13" s="57">
        <v>7386.06</v>
      </c>
    </row>
    <row r="14" spans="1:6" x14ac:dyDescent="0.25">
      <c r="A14" t="s">
        <v>965</v>
      </c>
      <c r="B14" t="s">
        <v>964</v>
      </c>
      <c r="C14">
        <v>286</v>
      </c>
      <c r="D14" s="57">
        <v>114374.04</v>
      </c>
    </row>
    <row r="15" spans="1:6" x14ac:dyDescent="0.25">
      <c r="A15" t="s">
        <v>966</v>
      </c>
      <c r="B15" t="s">
        <v>960</v>
      </c>
      <c r="C15">
        <v>11</v>
      </c>
      <c r="D15" s="57">
        <v>285488.15000000002</v>
      </c>
    </row>
    <row r="16" spans="1:6" x14ac:dyDescent="0.25">
      <c r="A16" t="s">
        <v>966</v>
      </c>
      <c r="B16" t="s">
        <v>961</v>
      </c>
      <c r="C16">
        <v>220</v>
      </c>
      <c r="D16" s="57">
        <v>11791.52</v>
      </c>
    </row>
    <row r="17" spans="1:4" x14ac:dyDescent="0.25">
      <c r="A17" t="s">
        <v>966</v>
      </c>
      <c r="B17" t="s">
        <v>962</v>
      </c>
      <c r="C17" s="58">
        <v>1061</v>
      </c>
      <c r="D17" s="57">
        <v>116062.58</v>
      </c>
    </row>
    <row r="18" spans="1:4" x14ac:dyDescent="0.25">
      <c r="A18" t="s">
        <v>966</v>
      </c>
      <c r="B18" t="s">
        <v>963</v>
      </c>
      <c r="C18">
        <v>39</v>
      </c>
      <c r="D18" s="57">
        <v>15738.8</v>
      </c>
    </row>
    <row r="19" spans="1:4" x14ac:dyDescent="0.25">
      <c r="A19" t="s">
        <v>966</v>
      </c>
      <c r="B19" t="s">
        <v>964</v>
      </c>
      <c r="C19">
        <v>193</v>
      </c>
      <c r="D19" s="57">
        <v>92790.97</v>
      </c>
    </row>
    <row r="20" spans="1:4" x14ac:dyDescent="0.25">
      <c r="A20" t="s">
        <v>967</v>
      </c>
      <c r="B20" t="s">
        <v>960</v>
      </c>
      <c r="C20">
        <v>8</v>
      </c>
      <c r="D20" s="57">
        <v>111725.79</v>
      </c>
    </row>
    <row r="21" spans="1:4" x14ac:dyDescent="0.25">
      <c r="A21" t="s">
        <v>967</v>
      </c>
      <c r="B21" t="s">
        <v>961</v>
      </c>
      <c r="C21">
        <v>177</v>
      </c>
      <c r="D21" s="57">
        <v>11253.53</v>
      </c>
    </row>
    <row r="22" spans="1:4" x14ac:dyDescent="0.25">
      <c r="A22" t="s">
        <v>967</v>
      </c>
      <c r="B22" t="s">
        <v>962</v>
      </c>
      <c r="C22">
        <v>890</v>
      </c>
      <c r="D22" s="57">
        <v>115621.38</v>
      </c>
    </row>
    <row r="23" spans="1:4" x14ac:dyDescent="0.25">
      <c r="A23" t="s">
        <v>967</v>
      </c>
      <c r="B23" t="s">
        <v>963</v>
      </c>
      <c r="C23">
        <v>40</v>
      </c>
      <c r="D23" s="57">
        <v>12666.73</v>
      </c>
    </row>
    <row r="24" spans="1:4" x14ac:dyDescent="0.25">
      <c r="A24" t="s">
        <v>967</v>
      </c>
      <c r="B24" t="s">
        <v>964</v>
      </c>
      <c r="C24">
        <v>198</v>
      </c>
      <c r="D24" s="57">
        <v>105999.38</v>
      </c>
    </row>
    <row r="25" spans="1:4" x14ac:dyDescent="0.25">
      <c r="A25" t="s">
        <v>968</v>
      </c>
      <c r="B25" t="s">
        <v>960</v>
      </c>
      <c r="C25">
        <v>10</v>
      </c>
      <c r="D25" s="57">
        <v>47396.55</v>
      </c>
    </row>
    <row r="26" spans="1:4" x14ac:dyDescent="0.25">
      <c r="A26" t="s">
        <v>968</v>
      </c>
      <c r="B26" t="s">
        <v>961</v>
      </c>
      <c r="C26">
        <v>177</v>
      </c>
      <c r="D26" s="57">
        <v>11977.66</v>
      </c>
    </row>
    <row r="27" spans="1:4" x14ac:dyDescent="0.25">
      <c r="A27" t="s">
        <v>968</v>
      </c>
      <c r="B27" t="s">
        <v>962</v>
      </c>
      <c r="C27">
        <v>989</v>
      </c>
      <c r="D27" s="57">
        <v>142347.46</v>
      </c>
    </row>
    <row r="28" spans="1:4" x14ac:dyDescent="0.25">
      <c r="A28" t="s">
        <v>968</v>
      </c>
      <c r="B28" t="s">
        <v>963</v>
      </c>
      <c r="C28">
        <v>63</v>
      </c>
      <c r="D28" s="57">
        <v>23731.55</v>
      </c>
    </row>
    <row r="29" spans="1:4" x14ac:dyDescent="0.25">
      <c r="A29" t="s">
        <v>968</v>
      </c>
      <c r="B29" t="s">
        <v>964</v>
      </c>
      <c r="C29">
        <v>244</v>
      </c>
      <c r="D29" s="57">
        <v>120634.15</v>
      </c>
    </row>
    <row r="30" spans="1:4" x14ac:dyDescent="0.25">
      <c r="A30" t="s">
        <v>969</v>
      </c>
      <c r="B30" t="s">
        <v>960</v>
      </c>
      <c r="C30">
        <v>17</v>
      </c>
      <c r="D30" s="57">
        <v>507231.42</v>
      </c>
    </row>
    <row r="31" spans="1:4" x14ac:dyDescent="0.25">
      <c r="A31" t="s">
        <v>969</v>
      </c>
      <c r="B31" t="s">
        <v>961</v>
      </c>
      <c r="C31">
        <v>219</v>
      </c>
      <c r="D31" s="57">
        <v>15971.37</v>
      </c>
    </row>
    <row r="32" spans="1:4" x14ac:dyDescent="0.25">
      <c r="A32" t="s">
        <v>969</v>
      </c>
      <c r="B32" t="s">
        <v>962</v>
      </c>
      <c r="C32" s="58">
        <v>1069</v>
      </c>
      <c r="D32" s="57">
        <v>189799.9</v>
      </c>
    </row>
    <row r="33" spans="1:4" x14ac:dyDescent="0.25">
      <c r="A33" t="s">
        <v>969</v>
      </c>
      <c r="B33" t="s">
        <v>963</v>
      </c>
      <c r="C33">
        <v>44</v>
      </c>
      <c r="D33" s="57">
        <v>18732.75</v>
      </c>
    </row>
    <row r="34" spans="1:4" x14ac:dyDescent="0.25">
      <c r="A34" t="s">
        <v>969</v>
      </c>
      <c r="B34" t="s">
        <v>964</v>
      </c>
      <c r="C34">
        <v>269</v>
      </c>
      <c r="D34" s="57">
        <v>189022.07</v>
      </c>
    </row>
    <row r="35" spans="1:4" x14ac:dyDescent="0.25">
      <c r="A35" t="s">
        <v>970</v>
      </c>
      <c r="B35" t="s">
        <v>960</v>
      </c>
      <c r="C35">
        <v>3</v>
      </c>
      <c r="D35" s="57">
        <v>56268.86</v>
      </c>
    </row>
    <row r="36" spans="1:4" x14ac:dyDescent="0.25">
      <c r="A36" t="s">
        <v>970</v>
      </c>
      <c r="B36" t="s">
        <v>961</v>
      </c>
      <c r="C36">
        <v>156</v>
      </c>
      <c r="D36" s="57">
        <v>10363.709999999999</v>
      </c>
    </row>
    <row r="37" spans="1:4" x14ac:dyDescent="0.25">
      <c r="A37" t="s">
        <v>970</v>
      </c>
      <c r="B37" t="s">
        <v>962</v>
      </c>
      <c r="C37">
        <v>982</v>
      </c>
      <c r="D37" s="57">
        <v>161215.51999999999</v>
      </c>
    </row>
    <row r="38" spans="1:4" x14ac:dyDescent="0.25">
      <c r="A38" t="s">
        <v>970</v>
      </c>
      <c r="B38" t="s">
        <v>963</v>
      </c>
      <c r="C38">
        <v>42</v>
      </c>
      <c r="D38" s="57">
        <v>19084.07</v>
      </c>
    </row>
    <row r="39" spans="1:4" x14ac:dyDescent="0.25">
      <c r="A39" t="s">
        <v>970</v>
      </c>
      <c r="B39" t="s">
        <v>964</v>
      </c>
      <c r="C39">
        <v>233</v>
      </c>
      <c r="D39" s="57">
        <v>124408.82</v>
      </c>
    </row>
    <row r="40" spans="1:4" x14ac:dyDescent="0.25">
      <c r="A40" t="s">
        <v>971</v>
      </c>
      <c r="B40" t="s">
        <v>960</v>
      </c>
      <c r="C40">
        <v>10</v>
      </c>
      <c r="D40" s="57">
        <v>68741.289999999994</v>
      </c>
    </row>
    <row r="41" spans="1:4" x14ac:dyDescent="0.25">
      <c r="A41" t="s">
        <v>971</v>
      </c>
      <c r="B41" t="s">
        <v>961</v>
      </c>
      <c r="C41">
        <v>246</v>
      </c>
      <c r="D41" s="57">
        <v>14532.32</v>
      </c>
    </row>
    <row r="42" spans="1:4" x14ac:dyDescent="0.25">
      <c r="A42" t="s">
        <v>971</v>
      </c>
      <c r="B42" t="s">
        <v>962</v>
      </c>
      <c r="C42" s="58">
        <v>1196</v>
      </c>
      <c r="D42" s="57">
        <v>196700.12</v>
      </c>
    </row>
    <row r="43" spans="1:4" x14ac:dyDescent="0.25">
      <c r="A43" t="s">
        <v>971</v>
      </c>
      <c r="B43" t="s">
        <v>963</v>
      </c>
      <c r="C43">
        <v>34</v>
      </c>
      <c r="D43" s="57">
        <v>9595.24</v>
      </c>
    </row>
    <row r="44" spans="1:4" x14ac:dyDescent="0.25">
      <c r="A44" t="s">
        <v>971</v>
      </c>
      <c r="B44" t="s">
        <v>964</v>
      </c>
      <c r="C44">
        <v>342</v>
      </c>
      <c r="D44" s="57">
        <v>203636.9</v>
      </c>
    </row>
    <row r="45" spans="1:4" x14ac:dyDescent="0.25">
      <c r="A45" t="s">
        <v>972</v>
      </c>
      <c r="B45" t="s">
        <v>960</v>
      </c>
      <c r="C45">
        <v>15</v>
      </c>
      <c r="D45" s="57">
        <v>85919.31</v>
      </c>
    </row>
    <row r="46" spans="1:4" x14ac:dyDescent="0.25">
      <c r="A46" t="s">
        <v>972</v>
      </c>
      <c r="B46" t="s">
        <v>961</v>
      </c>
      <c r="C46">
        <v>210</v>
      </c>
      <c r="D46" s="57">
        <v>21558.95</v>
      </c>
    </row>
    <row r="47" spans="1:4" x14ac:dyDescent="0.25">
      <c r="A47" t="s">
        <v>972</v>
      </c>
      <c r="B47" t="s">
        <v>962</v>
      </c>
      <c r="C47">
        <v>929</v>
      </c>
      <c r="D47" s="57">
        <v>118718.89</v>
      </c>
    </row>
    <row r="48" spans="1:4" x14ac:dyDescent="0.25">
      <c r="A48" t="s">
        <v>972</v>
      </c>
      <c r="B48" t="s">
        <v>963</v>
      </c>
      <c r="C48">
        <v>36</v>
      </c>
      <c r="D48" s="57">
        <v>11810.94</v>
      </c>
    </row>
    <row r="49" spans="1:4" x14ac:dyDescent="0.25">
      <c r="A49" t="s">
        <v>972</v>
      </c>
      <c r="B49" t="s">
        <v>964</v>
      </c>
      <c r="C49">
        <v>238</v>
      </c>
      <c r="D49" s="57">
        <v>133600.43</v>
      </c>
    </row>
    <row r="50" spans="1:4" x14ac:dyDescent="0.25">
      <c r="A50" t="s">
        <v>973</v>
      </c>
      <c r="B50" t="s">
        <v>960</v>
      </c>
      <c r="C50">
        <v>2</v>
      </c>
      <c r="D50" s="57">
        <v>31209.98</v>
      </c>
    </row>
    <row r="51" spans="1:4" x14ac:dyDescent="0.25">
      <c r="A51" t="s">
        <v>973</v>
      </c>
      <c r="B51" t="s">
        <v>961</v>
      </c>
      <c r="C51">
        <v>180</v>
      </c>
      <c r="D51" s="57">
        <v>12941.18</v>
      </c>
    </row>
    <row r="52" spans="1:4" x14ac:dyDescent="0.25">
      <c r="A52" t="s">
        <v>973</v>
      </c>
      <c r="B52" t="s">
        <v>962</v>
      </c>
      <c r="C52" s="58">
        <v>1186</v>
      </c>
      <c r="D52" s="57">
        <v>146338.54</v>
      </c>
    </row>
    <row r="53" spans="1:4" x14ac:dyDescent="0.25">
      <c r="A53" t="s">
        <v>973</v>
      </c>
      <c r="B53" t="s">
        <v>963</v>
      </c>
      <c r="C53">
        <v>44</v>
      </c>
      <c r="D53" s="57">
        <v>10928.32</v>
      </c>
    </row>
    <row r="54" spans="1:4" x14ac:dyDescent="0.25">
      <c r="A54" t="s">
        <v>973</v>
      </c>
      <c r="B54" t="s">
        <v>964</v>
      </c>
      <c r="C54">
        <v>242</v>
      </c>
      <c r="D54" s="57">
        <v>190119.34</v>
      </c>
    </row>
    <row r="55" spans="1:4" x14ac:dyDescent="0.25">
      <c r="A55" t="s">
        <v>974</v>
      </c>
      <c r="B55" t="s">
        <v>960</v>
      </c>
      <c r="C55">
        <v>4</v>
      </c>
      <c r="D55" s="57">
        <v>39017.050000000003</v>
      </c>
    </row>
    <row r="56" spans="1:4" x14ac:dyDescent="0.25">
      <c r="A56" t="s">
        <v>974</v>
      </c>
      <c r="B56" t="s">
        <v>961</v>
      </c>
      <c r="C56">
        <v>199</v>
      </c>
      <c r="D56" s="57">
        <v>10466.620000000001</v>
      </c>
    </row>
    <row r="57" spans="1:4" x14ac:dyDescent="0.25">
      <c r="A57" t="s">
        <v>974</v>
      </c>
      <c r="B57" t="s">
        <v>962</v>
      </c>
      <c r="C57" s="58">
        <v>1022</v>
      </c>
      <c r="D57" s="57">
        <v>153563.85999999999</v>
      </c>
    </row>
    <row r="58" spans="1:4" x14ac:dyDescent="0.25">
      <c r="A58" t="s">
        <v>974</v>
      </c>
      <c r="B58" t="s">
        <v>963</v>
      </c>
      <c r="C58">
        <v>30</v>
      </c>
      <c r="D58" s="57">
        <v>4880.62</v>
      </c>
    </row>
    <row r="59" spans="1:4" x14ac:dyDescent="0.25">
      <c r="A59" t="s">
        <v>974</v>
      </c>
      <c r="B59" t="s">
        <v>964</v>
      </c>
      <c r="C59">
        <v>251</v>
      </c>
      <c r="D59" s="57">
        <v>197642.52</v>
      </c>
    </row>
    <row r="60" spans="1:4" x14ac:dyDescent="0.25">
      <c r="A60" t="s">
        <v>975</v>
      </c>
      <c r="B60" t="s">
        <v>960</v>
      </c>
      <c r="C60">
        <v>3</v>
      </c>
      <c r="D60" s="57">
        <v>21908.58</v>
      </c>
    </row>
    <row r="61" spans="1:4" x14ac:dyDescent="0.25">
      <c r="A61" t="s">
        <v>975</v>
      </c>
      <c r="B61" t="s">
        <v>961</v>
      </c>
      <c r="C61">
        <v>220</v>
      </c>
      <c r="D61" s="57">
        <v>12772.1</v>
      </c>
    </row>
    <row r="62" spans="1:4" x14ac:dyDescent="0.25">
      <c r="A62" t="s">
        <v>975</v>
      </c>
      <c r="B62" t="s">
        <v>962</v>
      </c>
      <c r="C62">
        <v>962</v>
      </c>
      <c r="D62" s="57">
        <v>136623.65</v>
      </c>
    </row>
    <row r="63" spans="1:4" x14ac:dyDescent="0.25">
      <c r="A63" t="s">
        <v>975</v>
      </c>
      <c r="B63" t="s">
        <v>963</v>
      </c>
      <c r="C63">
        <v>33</v>
      </c>
      <c r="D63" s="57">
        <v>12362.72</v>
      </c>
    </row>
    <row r="64" spans="1:4" x14ac:dyDescent="0.25">
      <c r="A64" t="s">
        <v>975</v>
      </c>
      <c r="B64" t="s">
        <v>964</v>
      </c>
      <c r="C64">
        <v>288</v>
      </c>
      <c r="D64" s="57">
        <v>135724.04</v>
      </c>
    </row>
    <row r="65" spans="1:4" x14ac:dyDescent="0.25">
      <c r="A65" t="s">
        <v>976</v>
      </c>
      <c r="B65" t="s">
        <v>960</v>
      </c>
      <c r="C65">
        <v>1</v>
      </c>
      <c r="D65" s="57">
        <v>14455.4</v>
      </c>
    </row>
    <row r="66" spans="1:4" x14ac:dyDescent="0.25">
      <c r="A66" t="s">
        <v>976</v>
      </c>
      <c r="B66" t="s">
        <v>961</v>
      </c>
      <c r="C66">
        <v>217</v>
      </c>
      <c r="D66" s="57">
        <v>5802.79</v>
      </c>
    </row>
    <row r="67" spans="1:4" x14ac:dyDescent="0.25">
      <c r="A67" t="s">
        <v>976</v>
      </c>
      <c r="B67" t="s">
        <v>962</v>
      </c>
      <c r="C67" s="58">
        <v>1122</v>
      </c>
      <c r="D67" s="57">
        <v>80037.679999999993</v>
      </c>
    </row>
    <row r="68" spans="1:4" x14ac:dyDescent="0.25">
      <c r="A68" t="s">
        <v>976</v>
      </c>
      <c r="B68" t="s">
        <v>963</v>
      </c>
      <c r="C68">
        <v>34</v>
      </c>
      <c r="D68" s="57">
        <v>17886.28</v>
      </c>
    </row>
    <row r="69" spans="1:4" x14ac:dyDescent="0.25">
      <c r="A69" t="s">
        <v>976</v>
      </c>
      <c r="B69" t="s">
        <v>964</v>
      </c>
      <c r="C69">
        <v>282</v>
      </c>
      <c r="D69" s="57">
        <v>118312.31</v>
      </c>
    </row>
    <row r="70" spans="1:4" x14ac:dyDescent="0.25">
      <c r="A70" t="s">
        <v>977</v>
      </c>
      <c r="B70" t="s">
        <v>960</v>
      </c>
      <c r="C70">
        <v>2</v>
      </c>
      <c r="D70" s="57">
        <v>93974.28</v>
      </c>
    </row>
    <row r="71" spans="1:4" x14ac:dyDescent="0.25">
      <c r="A71" t="s">
        <v>977</v>
      </c>
      <c r="B71" t="s">
        <v>961</v>
      </c>
      <c r="C71">
        <v>189</v>
      </c>
      <c r="D71" s="57">
        <v>5827.86</v>
      </c>
    </row>
    <row r="72" spans="1:4" x14ac:dyDescent="0.25">
      <c r="A72" t="s">
        <v>977</v>
      </c>
      <c r="B72" t="s">
        <v>962</v>
      </c>
      <c r="C72">
        <v>914</v>
      </c>
      <c r="D72" s="57">
        <v>77178.81</v>
      </c>
    </row>
    <row r="73" spans="1:4" x14ac:dyDescent="0.25">
      <c r="A73" t="s">
        <v>977</v>
      </c>
      <c r="B73" t="s">
        <v>963</v>
      </c>
      <c r="C73">
        <v>35</v>
      </c>
      <c r="D73" s="57">
        <v>16069.08</v>
      </c>
    </row>
    <row r="74" spans="1:4" x14ac:dyDescent="0.25">
      <c r="A74" t="s">
        <v>977</v>
      </c>
      <c r="B74" t="s">
        <v>964</v>
      </c>
      <c r="C74">
        <v>234</v>
      </c>
      <c r="D74" s="57">
        <v>131418.1</v>
      </c>
    </row>
    <row r="75" spans="1:4" x14ac:dyDescent="0.25">
      <c r="A75" t="s">
        <v>978</v>
      </c>
      <c r="B75" t="s">
        <v>960</v>
      </c>
      <c r="C75">
        <v>4</v>
      </c>
      <c r="D75" s="57">
        <v>36495.96</v>
      </c>
    </row>
    <row r="76" spans="1:4" x14ac:dyDescent="0.25">
      <c r="A76" t="s">
        <v>978</v>
      </c>
      <c r="B76" t="s">
        <v>961</v>
      </c>
      <c r="C76">
        <v>233</v>
      </c>
      <c r="D76" s="57">
        <v>7258.07</v>
      </c>
    </row>
    <row r="77" spans="1:4" x14ac:dyDescent="0.25">
      <c r="A77" t="s">
        <v>978</v>
      </c>
      <c r="B77" t="s">
        <v>962</v>
      </c>
      <c r="C77">
        <v>998</v>
      </c>
      <c r="D77" s="57">
        <v>100004.71</v>
      </c>
    </row>
    <row r="78" spans="1:4" x14ac:dyDescent="0.25">
      <c r="A78" t="s">
        <v>978</v>
      </c>
      <c r="B78" t="s">
        <v>963</v>
      </c>
      <c r="C78">
        <v>34</v>
      </c>
      <c r="D78" s="57">
        <v>5270.01</v>
      </c>
    </row>
    <row r="79" spans="1:4" x14ac:dyDescent="0.25">
      <c r="A79" t="s">
        <v>978</v>
      </c>
      <c r="B79" t="s">
        <v>964</v>
      </c>
      <c r="C79">
        <v>239</v>
      </c>
      <c r="D79" s="57">
        <v>109700.71</v>
      </c>
    </row>
    <row r="80" spans="1:4" x14ac:dyDescent="0.25">
      <c r="A80" t="s">
        <v>979</v>
      </c>
      <c r="B80" t="s">
        <v>960</v>
      </c>
      <c r="C80">
        <v>11</v>
      </c>
      <c r="D80" s="57">
        <v>82448.990000000005</v>
      </c>
    </row>
    <row r="81" spans="1:4" x14ac:dyDescent="0.25">
      <c r="A81" t="s">
        <v>979</v>
      </c>
      <c r="B81" t="s">
        <v>961</v>
      </c>
      <c r="C81">
        <v>171</v>
      </c>
      <c r="D81" s="57">
        <v>7331.63</v>
      </c>
    </row>
    <row r="82" spans="1:4" x14ac:dyDescent="0.25">
      <c r="A82" t="s">
        <v>979</v>
      </c>
      <c r="B82" t="s">
        <v>962</v>
      </c>
      <c r="C82">
        <v>884</v>
      </c>
      <c r="D82" s="57">
        <v>97367.7</v>
      </c>
    </row>
    <row r="83" spans="1:4" x14ac:dyDescent="0.25">
      <c r="A83" t="s">
        <v>979</v>
      </c>
      <c r="B83" t="s">
        <v>963</v>
      </c>
      <c r="C83">
        <v>42</v>
      </c>
      <c r="D83" s="57">
        <v>15286.6</v>
      </c>
    </row>
    <row r="84" spans="1:4" x14ac:dyDescent="0.25">
      <c r="A84" t="s">
        <v>979</v>
      </c>
      <c r="B84" t="s">
        <v>964</v>
      </c>
      <c r="C84">
        <v>234</v>
      </c>
      <c r="D84" s="57">
        <v>144615.95000000001</v>
      </c>
    </row>
    <row r="85" spans="1:4" x14ac:dyDescent="0.25">
      <c r="A85" t="s">
        <v>980</v>
      </c>
      <c r="B85" t="s">
        <v>960</v>
      </c>
      <c r="C85">
        <v>3</v>
      </c>
      <c r="D85" s="57">
        <v>97559.57</v>
      </c>
    </row>
    <row r="86" spans="1:4" x14ac:dyDescent="0.25">
      <c r="A86" t="s">
        <v>980</v>
      </c>
      <c r="B86" t="s">
        <v>961</v>
      </c>
      <c r="C86">
        <v>210</v>
      </c>
      <c r="D86" s="57">
        <v>15367.1</v>
      </c>
    </row>
    <row r="87" spans="1:4" x14ac:dyDescent="0.25">
      <c r="A87" t="s">
        <v>980</v>
      </c>
      <c r="B87" t="s">
        <v>962</v>
      </c>
      <c r="C87">
        <v>981</v>
      </c>
      <c r="D87" s="57">
        <v>111472.4</v>
      </c>
    </row>
    <row r="88" spans="1:4" x14ac:dyDescent="0.25">
      <c r="A88" t="s">
        <v>980</v>
      </c>
      <c r="B88" t="s">
        <v>963</v>
      </c>
      <c r="C88">
        <v>37</v>
      </c>
      <c r="D88" s="57">
        <v>8152.84</v>
      </c>
    </row>
    <row r="89" spans="1:4" x14ac:dyDescent="0.25">
      <c r="A89" t="s">
        <v>980</v>
      </c>
      <c r="B89" t="s">
        <v>964</v>
      </c>
      <c r="C89">
        <v>325</v>
      </c>
      <c r="D89" s="57">
        <v>198538.84</v>
      </c>
    </row>
    <row r="90" spans="1:4" x14ac:dyDescent="0.25">
      <c r="A90" t="s">
        <v>981</v>
      </c>
      <c r="B90" t="s">
        <v>960</v>
      </c>
      <c r="C90">
        <v>13</v>
      </c>
      <c r="D90" s="57">
        <v>159308.24</v>
      </c>
    </row>
    <row r="91" spans="1:4" x14ac:dyDescent="0.25">
      <c r="A91" t="s">
        <v>981</v>
      </c>
      <c r="B91" t="s">
        <v>961</v>
      </c>
      <c r="C91">
        <v>208</v>
      </c>
      <c r="D91" s="57">
        <v>16089.36</v>
      </c>
    </row>
    <row r="92" spans="1:4" x14ac:dyDescent="0.25">
      <c r="A92" t="s">
        <v>981</v>
      </c>
      <c r="B92" t="s">
        <v>962</v>
      </c>
      <c r="C92">
        <v>986</v>
      </c>
      <c r="D92" s="57">
        <v>127737.33</v>
      </c>
    </row>
    <row r="93" spans="1:4" x14ac:dyDescent="0.25">
      <c r="A93" t="s">
        <v>981</v>
      </c>
      <c r="B93" t="s">
        <v>963</v>
      </c>
      <c r="C93">
        <v>36</v>
      </c>
      <c r="D93" s="57">
        <v>7657.78</v>
      </c>
    </row>
    <row r="94" spans="1:4" x14ac:dyDescent="0.25">
      <c r="A94" t="s">
        <v>981</v>
      </c>
      <c r="B94" t="s">
        <v>964</v>
      </c>
      <c r="C94">
        <v>302</v>
      </c>
      <c r="D94" s="57">
        <v>159194.57</v>
      </c>
    </row>
    <row r="95" spans="1:4" x14ac:dyDescent="0.25">
      <c r="A95" t="s">
        <v>982</v>
      </c>
      <c r="B95" t="s">
        <v>960</v>
      </c>
      <c r="C95">
        <v>7</v>
      </c>
      <c r="D95" s="57">
        <v>65269.59</v>
      </c>
    </row>
    <row r="96" spans="1:4" x14ac:dyDescent="0.25">
      <c r="A96" t="s">
        <v>982</v>
      </c>
      <c r="B96" t="s">
        <v>961</v>
      </c>
      <c r="C96">
        <v>225</v>
      </c>
      <c r="D96" s="57">
        <v>14713.82</v>
      </c>
    </row>
    <row r="97" spans="1:4" x14ac:dyDescent="0.25">
      <c r="A97" t="s">
        <v>982</v>
      </c>
      <c r="B97" t="s">
        <v>962</v>
      </c>
      <c r="C97">
        <v>991</v>
      </c>
      <c r="D97" s="57">
        <v>142702.54</v>
      </c>
    </row>
    <row r="98" spans="1:4" x14ac:dyDescent="0.25">
      <c r="A98" t="s">
        <v>982</v>
      </c>
      <c r="B98" t="s">
        <v>963</v>
      </c>
      <c r="C98">
        <v>51</v>
      </c>
      <c r="D98" s="57">
        <v>18826.43</v>
      </c>
    </row>
    <row r="99" spans="1:4" x14ac:dyDescent="0.25">
      <c r="A99" t="s">
        <v>982</v>
      </c>
      <c r="B99" t="s">
        <v>964</v>
      </c>
      <c r="C99">
        <v>321</v>
      </c>
      <c r="D99" s="57">
        <v>131354.10999999999</v>
      </c>
    </row>
    <row r="100" spans="1:4" x14ac:dyDescent="0.25">
      <c r="A100" t="s">
        <v>983</v>
      </c>
      <c r="B100" t="s">
        <v>960</v>
      </c>
      <c r="C100">
        <v>20</v>
      </c>
      <c r="D100" s="57">
        <v>196264.64</v>
      </c>
    </row>
    <row r="101" spans="1:4" x14ac:dyDescent="0.25">
      <c r="A101" t="s">
        <v>983</v>
      </c>
      <c r="B101" t="s">
        <v>961</v>
      </c>
      <c r="C101">
        <v>267</v>
      </c>
      <c r="D101" s="57">
        <v>21089.9</v>
      </c>
    </row>
    <row r="102" spans="1:4" x14ac:dyDescent="0.25">
      <c r="A102" t="s">
        <v>983</v>
      </c>
      <c r="B102" t="s">
        <v>962</v>
      </c>
      <c r="C102" s="58">
        <v>1252</v>
      </c>
      <c r="D102" s="57">
        <v>213932.91</v>
      </c>
    </row>
    <row r="103" spans="1:4" x14ac:dyDescent="0.25">
      <c r="A103" t="s">
        <v>983</v>
      </c>
      <c r="B103" t="s">
        <v>963</v>
      </c>
      <c r="C103">
        <v>52</v>
      </c>
      <c r="D103" s="57">
        <v>17561.650000000001</v>
      </c>
    </row>
    <row r="104" spans="1:4" x14ac:dyDescent="0.25">
      <c r="A104" t="s">
        <v>983</v>
      </c>
      <c r="B104" t="s">
        <v>964</v>
      </c>
      <c r="C104">
        <v>361</v>
      </c>
      <c r="D104" s="57">
        <v>297193.14</v>
      </c>
    </row>
    <row r="105" spans="1:4" x14ac:dyDescent="0.25">
      <c r="A105" t="s">
        <v>984</v>
      </c>
      <c r="B105" t="s">
        <v>960</v>
      </c>
      <c r="C105">
        <v>10</v>
      </c>
      <c r="D105" s="57">
        <v>70751.679999999993</v>
      </c>
    </row>
    <row r="106" spans="1:4" x14ac:dyDescent="0.25">
      <c r="A106" t="s">
        <v>984</v>
      </c>
      <c r="B106" t="s">
        <v>961</v>
      </c>
      <c r="C106">
        <v>167</v>
      </c>
      <c r="D106" s="57">
        <v>16479.560000000001</v>
      </c>
    </row>
    <row r="107" spans="1:4" x14ac:dyDescent="0.25">
      <c r="A107" t="s">
        <v>984</v>
      </c>
      <c r="B107" t="s">
        <v>962</v>
      </c>
      <c r="C107">
        <v>886</v>
      </c>
      <c r="D107" s="57">
        <v>128861.73</v>
      </c>
    </row>
    <row r="108" spans="1:4" x14ac:dyDescent="0.25">
      <c r="A108" t="s">
        <v>984</v>
      </c>
      <c r="B108" t="s">
        <v>963</v>
      </c>
      <c r="C108">
        <v>28</v>
      </c>
      <c r="D108" s="57">
        <v>7469.68</v>
      </c>
    </row>
    <row r="109" spans="1:4" x14ac:dyDescent="0.25">
      <c r="A109" t="s">
        <v>984</v>
      </c>
      <c r="B109" t="s">
        <v>964</v>
      </c>
      <c r="C109">
        <v>216</v>
      </c>
      <c r="D109" s="57">
        <v>157205.15</v>
      </c>
    </row>
    <row r="110" spans="1:4" x14ac:dyDescent="0.25">
      <c r="A110" t="s">
        <v>985</v>
      </c>
      <c r="B110" t="s">
        <v>960</v>
      </c>
      <c r="C110">
        <v>18</v>
      </c>
      <c r="D110" s="57">
        <v>171347.66</v>
      </c>
    </row>
    <row r="111" spans="1:4" x14ac:dyDescent="0.25">
      <c r="A111" t="s">
        <v>985</v>
      </c>
      <c r="B111" t="s">
        <v>961</v>
      </c>
      <c r="C111">
        <v>193</v>
      </c>
      <c r="D111" s="57">
        <v>16180.06</v>
      </c>
    </row>
    <row r="112" spans="1:4" x14ac:dyDescent="0.25">
      <c r="A112" t="s">
        <v>985</v>
      </c>
      <c r="B112" t="s">
        <v>962</v>
      </c>
      <c r="C112" s="58">
        <v>1264</v>
      </c>
      <c r="D112" s="57">
        <v>186632.39</v>
      </c>
    </row>
    <row r="113" spans="1:4" x14ac:dyDescent="0.25">
      <c r="A113" t="s">
        <v>985</v>
      </c>
      <c r="B113" t="s">
        <v>963</v>
      </c>
      <c r="C113">
        <v>45</v>
      </c>
      <c r="D113" s="57">
        <v>14640.57</v>
      </c>
    </row>
    <row r="114" spans="1:4" x14ac:dyDescent="0.25">
      <c r="A114" t="s">
        <v>985</v>
      </c>
      <c r="B114" t="s">
        <v>964</v>
      </c>
      <c r="C114">
        <v>311</v>
      </c>
      <c r="D114" s="57">
        <v>169417.45</v>
      </c>
    </row>
    <row r="115" spans="1:4" x14ac:dyDescent="0.25">
      <c r="A115" t="s">
        <v>986</v>
      </c>
      <c r="B115" t="s">
        <v>960</v>
      </c>
      <c r="C115">
        <v>8</v>
      </c>
      <c r="D115" s="57">
        <v>89886.2</v>
      </c>
    </row>
    <row r="116" spans="1:4" x14ac:dyDescent="0.25">
      <c r="A116" t="s">
        <v>986</v>
      </c>
      <c r="B116" t="s">
        <v>961</v>
      </c>
      <c r="C116">
        <v>218</v>
      </c>
      <c r="D116" s="57">
        <v>16854.55</v>
      </c>
    </row>
    <row r="117" spans="1:4" x14ac:dyDescent="0.25">
      <c r="A117" t="s">
        <v>986</v>
      </c>
      <c r="B117" t="s">
        <v>962</v>
      </c>
      <c r="C117" s="58">
        <v>1069</v>
      </c>
      <c r="D117" s="57">
        <v>157978</v>
      </c>
    </row>
    <row r="118" spans="1:4" x14ac:dyDescent="0.25">
      <c r="A118" t="s">
        <v>986</v>
      </c>
      <c r="B118" t="s">
        <v>963</v>
      </c>
      <c r="C118">
        <v>51</v>
      </c>
      <c r="D118" s="57">
        <v>39812.78</v>
      </c>
    </row>
    <row r="119" spans="1:4" x14ac:dyDescent="0.25">
      <c r="A119" t="s">
        <v>986</v>
      </c>
      <c r="B119" t="s">
        <v>964</v>
      </c>
      <c r="C119">
        <v>315</v>
      </c>
      <c r="D119" s="57">
        <v>155340.98000000001</v>
      </c>
    </row>
    <row r="120" spans="1:4" x14ac:dyDescent="0.25">
      <c r="A120" t="s">
        <v>987</v>
      </c>
      <c r="B120" t="s">
        <v>960</v>
      </c>
      <c r="C120">
        <v>15</v>
      </c>
      <c r="D120" s="57">
        <v>210084.14</v>
      </c>
    </row>
    <row r="121" spans="1:4" x14ac:dyDescent="0.25">
      <c r="A121" t="s">
        <v>987</v>
      </c>
      <c r="B121" t="s">
        <v>961</v>
      </c>
      <c r="C121">
        <v>242</v>
      </c>
      <c r="D121" s="57">
        <v>20822.95</v>
      </c>
    </row>
    <row r="122" spans="1:4" x14ac:dyDescent="0.25">
      <c r="A122" t="s">
        <v>987</v>
      </c>
      <c r="B122" t="s">
        <v>962</v>
      </c>
      <c r="C122" s="58">
        <v>1091</v>
      </c>
      <c r="D122" s="57">
        <v>171453.39</v>
      </c>
    </row>
    <row r="123" spans="1:4" x14ac:dyDescent="0.25">
      <c r="A123" t="s">
        <v>987</v>
      </c>
      <c r="B123" t="s">
        <v>963</v>
      </c>
      <c r="C123">
        <v>46</v>
      </c>
      <c r="D123" s="57">
        <v>13705.53</v>
      </c>
    </row>
    <row r="124" spans="1:4" x14ac:dyDescent="0.25">
      <c r="A124" t="s">
        <v>987</v>
      </c>
      <c r="B124" t="s">
        <v>964</v>
      </c>
      <c r="C124">
        <v>366</v>
      </c>
      <c r="D124" s="57">
        <v>188697.43</v>
      </c>
    </row>
    <row r="125" spans="1:4" x14ac:dyDescent="0.25">
      <c r="A125" t="s">
        <v>988</v>
      </c>
      <c r="B125" t="s">
        <v>960</v>
      </c>
      <c r="C125">
        <v>6</v>
      </c>
      <c r="D125" s="57">
        <v>170855.3</v>
      </c>
    </row>
    <row r="126" spans="1:4" x14ac:dyDescent="0.25">
      <c r="A126" t="s">
        <v>988</v>
      </c>
      <c r="B126" t="s">
        <v>961</v>
      </c>
      <c r="C126">
        <v>175</v>
      </c>
      <c r="D126" s="57">
        <v>4231.32</v>
      </c>
    </row>
    <row r="127" spans="1:4" x14ac:dyDescent="0.25">
      <c r="A127" t="s">
        <v>988</v>
      </c>
      <c r="B127" t="s">
        <v>962</v>
      </c>
      <c r="C127">
        <v>924</v>
      </c>
      <c r="D127" s="57">
        <v>52048.91</v>
      </c>
    </row>
    <row r="128" spans="1:4" x14ac:dyDescent="0.25">
      <c r="A128" t="s">
        <v>988</v>
      </c>
      <c r="B128" t="s">
        <v>963</v>
      </c>
      <c r="C128">
        <v>30</v>
      </c>
      <c r="D128" s="57">
        <v>1834.71</v>
      </c>
    </row>
    <row r="129" spans="1:4" x14ac:dyDescent="0.25">
      <c r="A129" t="s">
        <v>988</v>
      </c>
      <c r="B129" t="s">
        <v>964</v>
      </c>
      <c r="C129">
        <v>234</v>
      </c>
      <c r="D129" s="57">
        <v>62606.22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7B926-014B-4B13-8B66-92FB31A886B9}">
  <sheetPr codeName="Sheet43"/>
  <dimension ref="A1:I29"/>
  <sheetViews>
    <sheetView workbookViewId="0">
      <selection sqref="A1:XFD1048576"/>
    </sheetView>
  </sheetViews>
  <sheetFormatPr defaultRowHeight="15" x14ac:dyDescent="0.25"/>
  <sheetData>
    <row r="1" spans="1:9" x14ac:dyDescent="0.25">
      <c r="A1" t="s">
        <v>46</v>
      </c>
      <c r="B1" t="s">
        <v>47</v>
      </c>
      <c r="C1" t="s">
        <v>48</v>
      </c>
      <c r="D1" t="s">
        <v>49</v>
      </c>
      <c r="E1" t="s">
        <v>50</v>
      </c>
      <c r="F1" t="s">
        <v>51</v>
      </c>
    </row>
    <row r="2" spans="1:9" x14ac:dyDescent="0.25">
      <c r="A2" t="s">
        <v>52</v>
      </c>
      <c r="B2" t="s">
        <v>989</v>
      </c>
      <c r="C2" t="s">
        <v>54</v>
      </c>
      <c r="D2" t="s">
        <v>54</v>
      </c>
      <c r="E2" t="s">
        <v>55</v>
      </c>
      <c r="F2" t="s">
        <v>56</v>
      </c>
    </row>
    <row r="4" spans="1:9" x14ac:dyDescent="0.25">
      <c r="A4" t="s">
        <v>955</v>
      </c>
      <c r="B4" t="s">
        <v>990</v>
      </c>
      <c r="C4" t="s">
        <v>991</v>
      </c>
      <c r="D4" t="s">
        <v>992</v>
      </c>
      <c r="E4" t="s">
        <v>993</v>
      </c>
      <c r="F4" t="s">
        <v>994</v>
      </c>
      <c r="G4" t="s">
        <v>995</v>
      </c>
      <c r="H4" t="s">
        <v>996</v>
      </c>
      <c r="I4" t="s">
        <v>997</v>
      </c>
    </row>
    <row r="5" spans="1:9" x14ac:dyDescent="0.25">
      <c r="A5" t="s">
        <v>959</v>
      </c>
      <c r="B5" s="57">
        <v>4550</v>
      </c>
      <c r="C5" s="57">
        <v>4450</v>
      </c>
      <c r="D5" s="57">
        <v>1706.79</v>
      </c>
      <c r="E5" s="57">
        <v>523.51</v>
      </c>
      <c r="F5" s="57">
        <v>3835.97</v>
      </c>
      <c r="G5" s="57">
        <v>3785.97</v>
      </c>
      <c r="H5" s="57">
        <v>6256.79</v>
      </c>
      <c r="I5" s="57">
        <v>4973.51</v>
      </c>
    </row>
    <row r="6" spans="1:9" x14ac:dyDescent="0.25">
      <c r="A6" t="s">
        <v>965</v>
      </c>
      <c r="B6" s="57">
        <v>49769.87</v>
      </c>
      <c r="C6" s="57">
        <v>38629.03</v>
      </c>
      <c r="D6" s="57">
        <v>21799.3</v>
      </c>
      <c r="E6" s="57">
        <v>10580.34</v>
      </c>
      <c r="F6" s="57">
        <v>13369.5</v>
      </c>
      <c r="G6" s="57">
        <v>13209.5</v>
      </c>
      <c r="H6" s="57">
        <v>71569.17</v>
      </c>
      <c r="I6" s="57">
        <v>49209.37</v>
      </c>
    </row>
    <row r="7" spans="1:9" x14ac:dyDescent="0.25">
      <c r="A7" t="s">
        <v>966</v>
      </c>
      <c r="B7" s="57">
        <v>56931.31</v>
      </c>
      <c r="C7" s="57">
        <v>46503.09</v>
      </c>
      <c r="D7" s="57">
        <v>27515.99</v>
      </c>
      <c r="E7" s="57">
        <v>18652.77</v>
      </c>
      <c r="F7" s="57">
        <v>23004.34</v>
      </c>
      <c r="G7" s="57">
        <v>22744.34</v>
      </c>
      <c r="H7" s="57">
        <v>84447.3</v>
      </c>
      <c r="I7" s="57">
        <v>65155.86</v>
      </c>
    </row>
    <row r="8" spans="1:9" x14ac:dyDescent="0.25">
      <c r="A8" t="s">
        <v>967</v>
      </c>
      <c r="B8" s="57">
        <v>49176.959999999999</v>
      </c>
      <c r="C8" s="57">
        <v>42619.02</v>
      </c>
      <c r="D8" s="57">
        <v>23923.78</v>
      </c>
      <c r="E8" s="57">
        <v>17870.16</v>
      </c>
      <c r="F8" s="57">
        <v>19499.650000000001</v>
      </c>
      <c r="G8" s="57">
        <v>19339.650000000001</v>
      </c>
      <c r="H8" s="57">
        <v>73100.740000000005</v>
      </c>
      <c r="I8" s="57">
        <v>60489.18</v>
      </c>
    </row>
    <row r="9" spans="1:9" x14ac:dyDescent="0.25">
      <c r="A9" t="s">
        <v>968</v>
      </c>
      <c r="B9" s="57">
        <v>53299.040000000001</v>
      </c>
      <c r="C9" s="57">
        <v>47076.65</v>
      </c>
      <c r="D9" s="57">
        <v>23804.25</v>
      </c>
      <c r="E9" s="57">
        <v>17066.64</v>
      </c>
      <c r="F9" s="57">
        <v>20283.91</v>
      </c>
      <c r="G9" s="57">
        <v>19930.91</v>
      </c>
      <c r="H9" s="57">
        <v>77103.289999999994</v>
      </c>
      <c r="I9" s="57">
        <v>64143.29</v>
      </c>
    </row>
    <row r="10" spans="1:9" x14ac:dyDescent="0.25">
      <c r="A10" t="s">
        <v>969</v>
      </c>
      <c r="B10" s="57">
        <v>76286.97</v>
      </c>
      <c r="C10" s="57">
        <v>72010.38</v>
      </c>
      <c r="D10" s="57">
        <v>29789</v>
      </c>
      <c r="E10" s="57">
        <v>23548.69</v>
      </c>
      <c r="F10" s="57">
        <v>39422.5</v>
      </c>
      <c r="G10" s="57">
        <v>39162.5</v>
      </c>
      <c r="H10" s="57">
        <v>106075.97</v>
      </c>
      <c r="I10" s="57">
        <v>95559.07</v>
      </c>
    </row>
    <row r="11" spans="1:9" x14ac:dyDescent="0.25">
      <c r="A11" t="s">
        <v>970</v>
      </c>
      <c r="B11" s="57">
        <v>70158.789999999994</v>
      </c>
      <c r="C11" s="57">
        <v>66870.23</v>
      </c>
      <c r="D11" s="57">
        <v>28552.27</v>
      </c>
      <c r="E11" s="57">
        <v>23980.39</v>
      </c>
      <c r="F11" s="57">
        <v>31513.21</v>
      </c>
      <c r="G11" s="57">
        <v>31273.21</v>
      </c>
      <c r="H11" s="57">
        <v>98711.06</v>
      </c>
      <c r="I11" s="57">
        <v>90850.62</v>
      </c>
    </row>
    <row r="12" spans="1:9" x14ac:dyDescent="0.25">
      <c r="A12" t="s">
        <v>971</v>
      </c>
      <c r="B12" s="57">
        <v>81038.259999999995</v>
      </c>
      <c r="C12" s="57">
        <v>77190.63</v>
      </c>
      <c r="D12" s="57">
        <v>27217.279999999999</v>
      </c>
      <c r="E12" s="57">
        <v>22034.36</v>
      </c>
      <c r="F12" s="57">
        <v>34633.32</v>
      </c>
      <c r="G12" s="57">
        <v>34333.32</v>
      </c>
      <c r="H12" s="57">
        <v>108255.54</v>
      </c>
      <c r="I12" s="57">
        <v>99224.99</v>
      </c>
    </row>
    <row r="13" spans="1:9" x14ac:dyDescent="0.25">
      <c r="A13" t="s">
        <v>972</v>
      </c>
      <c r="B13" s="57">
        <v>76302.75</v>
      </c>
      <c r="C13" s="57">
        <v>72692.03</v>
      </c>
      <c r="D13" s="57">
        <v>22019.88</v>
      </c>
      <c r="E13" s="57">
        <v>18120.669999999998</v>
      </c>
      <c r="F13" s="57">
        <v>54065.55</v>
      </c>
      <c r="G13" s="57">
        <v>53684.35</v>
      </c>
      <c r="H13" s="57">
        <v>98322.63</v>
      </c>
      <c r="I13" s="57">
        <v>90812.7</v>
      </c>
    </row>
    <row r="14" spans="1:9" x14ac:dyDescent="0.25">
      <c r="A14" t="s">
        <v>973</v>
      </c>
      <c r="B14" s="57">
        <v>85629.22</v>
      </c>
      <c r="C14" s="57">
        <v>81764.77</v>
      </c>
      <c r="D14" s="57">
        <v>29379.97</v>
      </c>
      <c r="E14" s="57">
        <v>24291.23</v>
      </c>
      <c r="F14" s="57">
        <v>48042.98</v>
      </c>
      <c r="G14" s="57">
        <v>47632.98</v>
      </c>
      <c r="H14" s="57">
        <v>115009.19</v>
      </c>
      <c r="I14" s="57">
        <v>106056</v>
      </c>
    </row>
    <row r="15" spans="1:9" x14ac:dyDescent="0.25">
      <c r="A15" t="s">
        <v>974</v>
      </c>
      <c r="B15" s="57">
        <v>95616.9</v>
      </c>
      <c r="C15" s="57">
        <v>92376.11</v>
      </c>
      <c r="D15" s="57">
        <v>19732.91</v>
      </c>
      <c r="E15" s="57">
        <v>15168.04</v>
      </c>
      <c r="F15" s="57">
        <v>51718.63</v>
      </c>
      <c r="G15" s="57">
        <v>51328.63</v>
      </c>
      <c r="H15" s="57">
        <v>115349.81</v>
      </c>
      <c r="I15" s="57">
        <v>107544.15</v>
      </c>
    </row>
    <row r="16" spans="1:9" x14ac:dyDescent="0.25">
      <c r="A16" t="s">
        <v>975</v>
      </c>
      <c r="B16" s="57">
        <v>104990.95</v>
      </c>
      <c r="C16" s="57">
        <v>102094.06</v>
      </c>
      <c r="D16" s="57">
        <v>33939.440000000002</v>
      </c>
      <c r="E16" s="57">
        <v>29340.99</v>
      </c>
      <c r="F16" s="57">
        <v>69113.88</v>
      </c>
      <c r="G16" s="57">
        <v>68663.88</v>
      </c>
      <c r="H16" s="57">
        <v>138930.39000000001</v>
      </c>
      <c r="I16" s="57">
        <v>131435.04999999999</v>
      </c>
    </row>
    <row r="17" spans="1:9" x14ac:dyDescent="0.25">
      <c r="A17" t="s">
        <v>976</v>
      </c>
      <c r="B17" s="57">
        <v>77733.649999999994</v>
      </c>
      <c r="C17" s="57">
        <v>54403.48</v>
      </c>
      <c r="D17" s="57">
        <v>22339.68</v>
      </c>
      <c r="E17" s="57">
        <v>11186.19</v>
      </c>
      <c r="F17" s="57">
        <v>43550.97</v>
      </c>
      <c r="G17" s="57">
        <v>31537.77</v>
      </c>
      <c r="H17" s="57">
        <v>100073.33</v>
      </c>
      <c r="I17" s="57">
        <v>65589.67</v>
      </c>
    </row>
    <row r="18" spans="1:9" x14ac:dyDescent="0.25">
      <c r="A18" t="s">
        <v>977</v>
      </c>
      <c r="B18" s="57">
        <v>83734.83</v>
      </c>
      <c r="C18" s="57">
        <v>71329.37</v>
      </c>
      <c r="D18" s="57">
        <v>21214.799999999999</v>
      </c>
      <c r="E18" s="57">
        <v>12352.46</v>
      </c>
      <c r="F18" s="57">
        <v>49107</v>
      </c>
      <c r="G18" s="57">
        <v>47416.31</v>
      </c>
      <c r="H18" s="57">
        <v>104949.63</v>
      </c>
      <c r="I18" s="57">
        <v>83681.83</v>
      </c>
    </row>
    <row r="19" spans="1:9" x14ac:dyDescent="0.25">
      <c r="A19" t="s">
        <v>978</v>
      </c>
      <c r="B19" s="57">
        <v>92210.93</v>
      </c>
      <c r="C19" s="57">
        <v>83361.73</v>
      </c>
      <c r="D19" s="57">
        <v>28404.54</v>
      </c>
      <c r="E19" s="57">
        <v>19946.3</v>
      </c>
      <c r="F19" s="57">
        <v>61549.73</v>
      </c>
      <c r="G19" s="57">
        <v>61019.73</v>
      </c>
      <c r="H19" s="57">
        <v>120615.47</v>
      </c>
      <c r="I19" s="57">
        <v>103308.03</v>
      </c>
    </row>
    <row r="20" spans="1:9" x14ac:dyDescent="0.25">
      <c r="A20" t="s">
        <v>979</v>
      </c>
      <c r="B20" s="57">
        <v>77757.42</v>
      </c>
      <c r="C20" s="57">
        <v>72855.25</v>
      </c>
      <c r="D20" s="57">
        <v>23534.15</v>
      </c>
      <c r="E20" s="57">
        <v>17106.05</v>
      </c>
      <c r="F20" s="57">
        <v>36804.33</v>
      </c>
      <c r="G20" s="57">
        <v>36464.33</v>
      </c>
      <c r="H20" s="57">
        <v>101291.57</v>
      </c>
      <c r="I20" s="57">
        <v>89961.3</v>
      </c>
    </row>
    <row r="21" spans="1:9" x14ac:dyDescent="0.25">
      <c r="A21" t="s">
        <v>980</v>
      </c>
      <c r="B21" s="57">
        <v>113501.08</v>
      </c>
      <c r="C21" s="57">
        <v>108978.34</v>
      </c>
      <c r="D21" s="57">
        <v>20170.310000000001</v>
      </c>
      <c r="E21" s="57">
        <v>13884.99</v>
      </c>
      <c r="F21" s="57">
        <v>81365.78</v>
      </c>
      <c r="G21" s="57">
        <v>80795.78</v>
      </c>
      <c r="H21" s="57">
        <v>133671.39000000001</v>
      </c>
      <c r="I21" s="57">
        <v>122863.33</v>
      </c>
    </row>
    <row r="22" spans="1:9" x14ac:dyDescent="0.25">
      <c r="A22" t="s">
        <v>981</v>
      </c>
      <c r="B22" s="57">
        <v>96695.92</v>
      </c>
      <c r="C22" s="57">
        <v>92193.13</v>
      </c>
      <c r="D22" s="57">
        <v>29875.119999999999</v>
      </c>
      <c r="E22" s="57">
        <v>24666.45</v>
      </c>
      <c r="F22" s="57">
        <v>52116.160000000003</v>
      </c>
      <c r="G22" s="57">
        <v>51626.16</v>
      </c>
      <c r="H22" s="57">
        <v>126571.04</v>
      </c>
      <c r="I22" s="57">
        <v>116859.58</v>
      </c>
    </row>
    <row r="23" spans="1:9" x14ac:dyDescent="0.25">
      <c r="A23" t="s">
        <v>982</v>
      </c>
      <c r="B23" s="57">
        <v>68838.44</v>
      </c>
      <c r="C23" s="57">
        <v>65477.54</v>
      </c>
      <c r="D23" s="57">
        <v>24897.91</v>
      </c>
      <c r="E23" s="57">
        <v>19746.490000000002</v>
      </c>
      <c r="F23" s="57">
        <v>47079.14</v>
      </c>
      <c r="G23" s="57">
        <v>46719.14</v>
      </c>
      <c r="H23" s="57">
        <v>93736.35</v>
      </c>
      <c r="I23" s="57">
        <v>85224.03</v>
      </c>
    </row>
    <row r="24" spans="1:9" x14ac:dyDescent="0.25">
      <c r="A24" t="s">
        <v>983</v>
      </c>
      <c r="B24" s="57">
        <v>100895.03</v>
      </c>
      <c r="C24" s="57">
        <v>94756.69</v>
      </c>
      <c r="D24" s="57">
        <v>28415.59</v>
      </c>
      <c r="E24" s="57">
        <v>23955.3</v>
      </c>
      <c r="F24" s="57">
        <v>55275.839999999997</v>
      </c>
      <c r="G24" s="57">
        <v>52785.57</v>
      </c>
      <c r="H24" s="57">
        <v>129310.62</v>
      </c>
      <c r="I24" s="57">
        <v>118711.99</v>
      </c>
    </row>
    <row r="25" spans="1:9" x14ac:dyDescent="0.25">
      <c r="A25" t="s">
        <v>984</v>
      </c>
      <c r="B25" s="57">
        <v>81381.119999999995</v>
      </c>
      <c r="C25" s="57">
        <v>76784.789999999994</v>
      </c>
      <c r="D25" s="57">
        <v>21967.54</v>
      </c>
      <c r="E25" s="57">
        <v>18075.16</v>
      </c>
      <c r="F25" s="57">
        <v>51307.94</v>
      </c>
      <c r="G25" s="57">
        <v>49314.14</v>
      </c>
      <c r="H25" s="57">
        <v>103348.66</v>
      </c>
      <c r="I25" s="57">
        <v>94859.95</v>
      </c>
    </row>
    <row r="26" spans="1:9" x14ac:dyDescent="0.25">
      <c r="A26" t="s">
        <v>985</v>
      </c>
      <c r="B26" s="57">
        <v>83879.37</v>
      </c>
      <c r="C26" s="57">
        <v>80618.39</v>
      </c>
      <c r="D26" s="57">
        <v>26084.67</v>
      </c>
      <c r="E26" s="57">
        <v>21248.47</v>
      </c>
      <c r="F26" s="57">
        <v>54897.34</v>
      </c>
      <c r="G26" s="57">
        <v>54277.34</v>
      </c>
      <c r="H26" s="57">
        <v>109964.04</v>
      </c>
      <c r="I26" s="57">
        <v>101866.86</v>
      </c>
    </row>
    <row r="27" spans="1:9" x14ac:dyDescent="0.25">
      <c r="A27" t="s">
        <v>986</v>
      </c>
      <c r="B27" s="57">
        <v>83430.02</v>
      </c>
      <c r="C27" s="57">
        <v>79536.820000000007</v>
      </c>
      <c r="D27" s="57">
        <v>29188.639999999999</v>
      </c>
      <c r="E27" s="57">
        <v>24385</v>
      </c>
      <c r="F27" s="57">
        <v>42604.13</v>
      </c>
      <c r="G27" s="57">
        <v>42154.13</v>
      </c>
      <c r="H27" s="57">
        <v>112618.66</v>
      </c>
      <c r="I27" s="57">
        <v>103921.82</v>
      </c>
    </row>
    <row r="28" spans="1:9" x14ac:dyDescent="0.25">
      <c r="A28" t="s">
        <v>987</v>
      </c>
      <c r="B28" s="57">
        <v>98695.77</v>
      </c>
      <c r="C28" s="57">
        <v>95317.49</v>
      </c>
      <c r="D28" s="57">
        <v>43587.77</v>
      </c>
      <c r="E28" s="57">
        <v>38820.800000000003</v>
      </c>
      <c r="F28" s="57">
        <v>66084.850000000006</v>
      </c>
      <c r="G28" s="57">
        <v>65664.850000000006</v>
      </c>
      <c r="H28" s="57">
        <v>142283.54</v>
      </c>
      <c r="I28" s="57">
        <v>134138.29</v>
      </c>
    </row>
    <row r="29" spans="1:9" x14ac:dyDescent="0.25">
      <c r="A29" t="s">
        <v>988</v>
      </c>
      <c r="B29" s="57">
        <v>69036.36</v>
      </c>
      <c r="C29" s="57">
        <v>50112.24</v>
      </c>
      <c r="D29" s="57">
        <v>29364.22</v>
      </c>
      <c r="E29" s="57">
        <v>18202.61</v>
      </c>
      <c r="F29" s="57">
        <v>52406.14</v>
      </c>
      <c r="G29" s="57">
        <v>42766.46</v>
      </c>
      <c r="H29" s="57">
        <v>98400.58</v>
      </c>
      <c r="I29" s="57">
        <v>68314.850000000006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4C2B8-0854-4A26-AE25-CAE249307769}">
  <sheetPr codeName="Sheet44"/>
  <dimension ref="A1:F129"/>
  <sheetViews>
    <sheetView workbookViewId="0">
      <selection sqref="A1:XFD1048576"/>
    </sheetView>
  </sheetViews>
  <sheetFormatPr defaultRowHeight="15" x14ac:dyDescent="0.25"/>
  <sheetData>
    <row r="1" spans="1:6" x14ac:dyDescent="0.25">
      <c r="A1" t="s">
        <v>46</v>
      </c>
      <c r="B1" t="s">
        <v>47</v>
      </c>
      <c r="C1" t="s">
        <v>48</v>
      </c>
      <c r="D1" t="s">
        <v>49</v>
      </c>
      <c r="E1" t="s">
        <v>50</v>
      </c>
      <c r="F1" t="s">
        <v>51</v>
      </c>
    </row>
    <row r="2" spans="1:6" x14ac:dyDescent="0.25">
      <c r="A2" t="s">
        <v>52</v>
      </c>
      <c r="B2" t="s">
        <v>998</v>
      </c>
      <c r="C2" t="s">
        <v>54</v>
      </c>
      <c r="D2" t="s">
        <v>54</v>
      </c>
      <c r="E2" t="s">
        <v>55</v>
      </c>
      <c r="F2" t="s">
        <v>56</v>
      </c>
    </row>
    <row r="4" spans="1:6" x14ac:dyDescent="0.25">
      <c r="A4" t="s">
        <v>955</v>
      </c>
      <c r="B4" t="s">
        <v>956</v>
      </c>
      <c r="C4" t="s">
        <v>957</v>
      </c>
      <c r="D4" t="s">
        <v>999</v>
      </c>
      <c r="E4" t="s">
        <v>958</v>
      </c>
      <c r="F4" t="s">
        <v>1000</v>
      </c>
    </row>
    <row r="5" spans="1:6" x14ac:dyDescent="0.25">
      <c r="A5" t="s">
        <v>959</v>
      </c>
      <c r="B5" t="s">
        <v>21</v>
      </c>
      <c r="C5">
        <v>1</v>
      </c>
      <c r="D5" s="57">
        <v>155.71</v>
      </c>
      <c r="E5" s="57">
        <v>57</v>
      </c>
      <c r="F5" s="57">
        <v>0</v>
      </c>
    </row>
    <row r="6" spans="1:6" x14ac:dyDescent="0.25">
      <c r="A6" t="s">
        <v>959</v>
      </c>
      <c r="B6" t="s">
        <v>22</v>
      </c>
      <c r="C6">
        <v>5</v>
      </c>
      <c r="D6" s="57">
        <v>519</v>
      </c>
      <c r="E6" s="57">
        <v>290</v>
      </c>
      <c r="F6" s="57">
        <v>290</v>
      </c>
    </row>
    <row r="7" spans="1:6" x14ac:dyDescent="0.25">
      <c r="A7" t="s">
        <v>959</v>
      </c>
      <c r="B7" t="s">
        <v>23</v>
      </c>
      <c r="C7">
        <v>2</v>
      </c>
      <c r="D7" s="57">
        <v>542</v>
      </c>
      <c r="E7" s="57">
        <v>167.6</v>
      </c>
      <c r="F7" s="57">
        <v>167.6</v>
      </c>
    </row>
    <row r="8" spans="1:6" x14ac:dyDescent="0.25">
      <c r="A8" t="s">
        <v>959</v>
      </c>
      <c r="B8" t="s">
        <v>24</v>
      </c>
      <c r="C8">
        <v>2</v>
      </c>
      <c r="D8" s="57">
        <v>674</v>
      </c>
      <c r="E8" s="57">
        <v>239</v>
      </c>
      <c r="F8" s="57">
        <v>239</v>
      </c>
    </row>
    <row r="9" spans="1:6" x14ac:dyDescent="0.25">
      <c r="A9" t="s">
        <v>959</v>
      </c>
      <c r="B9" t="s">
        <v>25</v>
      </c>
      <c r="C9">
        <v>0</v>
      </c>
      <c r="D9" s="57">
        <v>0</v>
      </c>
      <c r="E9" s="57">
        <v>0</v>
      </c>
      <c r="F9" s="57">
        <v>0</v>
      </c>
    </row>
    <row r="10" spans="1:6" x14ac:dyDescent="0.25">
      <c r="A10" t="s">
        <v>965</v>
      </c>
      <c r="B10" t="s">
        <v>21</v>
      </c>
      <c r="C10">
        <v>8</v>
      </c>
      <c r="D10" s="57">
        <v>1482.59</v>
      </c>
      <c r="E10" s="57">
        <v>757.35</v>
      </c>
      <c r="F10" s="57">
        <v>412.35</v>
      </c>
    </row>
    <row r="11" spans="1:6" x14ac:dyDescent="0.25">
      <c r="A11" t="s">
        <v>965</v>
      </c>
      <c r="B11" t="s">
        <v>22</v>
      </c>
      <c r="C11">
        <v>25</v>
      </c>
      <c r="D11" s="57">
        <v>2934</v>
      </c>
      <c r="E11" s="57">
        <v>1489.55</v>
      </c>
      <c r="F11" s="57">
        <v>1419.55</v>
      </c>
    </row>
    <row r="12" spans="1:6" x14ac:dyDescent="0.25">
      <c r="A12" t="s">
        <v>965</v>
      </c>
      <c r="B12" t="s">
        <v>23</v>
      </c>
      <c r="C12">
        <v>18</v>
      </c>
      <c r="D12" s="57">
        <v>3080.35</v>
      </c>
      <c r="E12" s="57">
        <v>1496.7</v>
      </c>
      <c r="F12" s="57">
        <v>1386.7</v>
      </c>
    </row>
    <row r="13" spans="1:6" x14ac:dyDescent="0.25">
      <c r="A13" t="s">
        <v>965</v>
      </c>
      <c r="B13" t="s">
        <v>24</v>
      </c>
      <c r="C13">
        <v>18</v>
      </c>
      <c r="D13" s="57">
        <v>4423.18</v>
      </c>
      <c r="E13" s="57">
        <v>1753</v>
      </c>
      <c r="F13" s="57">
        <v>1623</v>
      </c>
    </row>
    <row r="14" spans="1:6" x14ac:dyDescent="0.25">
      <c r="A14" t="s">
        <v>965</v>
      </c>
      <c r="B14" t="s">
        <v>25</v>
      </c>
      <c r="C14">
        <v>0</v>
      </c>
      <c r="D14" s="57">
        <v>0</v>
      </c>
      <c r="E14" s="57">
        <v>0</v>
      </c>
      <c r="F14" s="57">
        <v>0</v>
      </c>
    </row>
    <row r="15" spans="1:6" x14ac:dyDescent="0.25">
      <c r="A15" t="s">
        <v>966</v>
      </c>
      <c r="B15" t="s">
        <v>21</v>
      </c>
      <c r="C15">
        <v>8</v>
      </c>
      <c r="D15" s="57">
        <v>1248.17</v>
      </c>
      <c r="E15" s="57">
        <v>657.32</v>
      </c>
      <c r="F15" s="57">
        <v>580.15</v>
      </c>
    </row>
    <row r="16" spans="1:6" x14ac:dyDescent="0.25">
      <c r="A16" t="s">
        <v>966</v>
      </c>
      <c r="B16" t="s">
        <v>22</v>
      </c>
      <c r="C16">
        <v>28</v>
      </c>
      <c r="D16" s="57">
        <v>3563</v>
      </c>
      <c r="E16" s="57">
        <v>1660.66</v>
      </c>
      <c r="F16" s="57">
        <v>1660.66</v>
      </c>
    </row>
    <row r="17" spans="1:6" x14ac:dyDescent="0.25">
      <c r="A17" t="s">
        <v>966</v>
      </c>
      <c r="B17" t="s">
        <v>23</v>
      </c>
      <c r="C17">
        <v>20</v>
      </c>
      <c r="D17" s="57">
        <v>3829.94</v>
      </c>
      <c r="E17" s="57">
        <v>1538.79</v>
      </c>
      <c r="F17" s="57">
        <v>1373.79</v>
      </c>
    </row>
    <row r="18" spans="1:6" x14ac:dyDescent="0.25">
      <c r="A18" t="s">
        <v>966</v>
      </c>
      <c r="B18" t="s">
        <v>24</v>
      </c>
      <c r="C18">
        <v>24</v>
      </c>
      <c r="D18" s="57">
        <v>5575.5</v>
      </c>
      <c r="E18" s="57">
        <v>1965.19</v>
      </c>
      <c r="F18" s="57">
        <v>1906.19</v>
      </c>
    </row>
    <row r="19" spans="1:6" x14ac:dyDescent="0.25">
      <c r="A19" t="s">
        <v>966</v>
      </c>
      <c r="B19" t="s">
        <v>25</v>
      </c>
      <c r="C19">
        <v>0</v>
      </c>
      <c r="D19" s="57">
        <v>0</v>
      </c>
      <c r="E19" s="57">
        <v>0</v>
      </c>
      <c r="F19" s="57">
        <v>0</v>
      </c>
    </row>
    <row r="20" spans="1:6" x14ac:dyDescent="0.25">
      <c r="A20" t="s">
        <v>967</v>
      </c>
      <c r="B20" t="s">
        <v>21</v>
      </c>
      <c r="C20">
        <v>9</v>
      </c>
      <c r="D20" s="57">
        <v>1948</v>
      </c>
      <c r="E20" s="57">
        <v>613.45000000000005</v>
      </c>
      <c r="F20" s="57">
        <v>533.45000000000005</v>
      </c>
    </row>
    <row r="21" spans="1:6" x14ac:dyDescent="0.25">
      <c r="A21" t="s">
        <v>967</v>
      </c>
      <c r="B21" t="s">
        <v>22</v>
      </c>
      <c r="C21">
        <v>30</v>
      </c>
      <c r="D21" s="57">
        <v>3240</v>
      </c>
      <c r="E21" s="57">
        <v>1824.2</v>
      </c>
      <c r="F21" s="57">
        <v>1719.2</v>
      </c>
    </row>
    <row r="22" spans="1:6" x14ac:dyDescent="0.25">
      <c r="A22" t="s">
        <v>967</v>
      </c>
      <c r="B22" t="s">
        <v>23</v>
      </c>
      <c r="C22">
        <v>22</v>
      </c>
      <c r="D22" s="57">
        <v>3852.05</v>
      </c>
      <c r="E22" s="57">
        <v>1771.13</v>
      </c>
      <c r="F22" s="57">
        <v>1496.13</v>
      </c>
    </row>
    <row r="23" spans="1:6" x14ac:dyDescent="0.25">
      <c r="A23" t="s">
        <v>967</v>
      </c>
      <c r="B23" t="s">
        <v>24</v>
      </c>
      <c r="C23">
        <v>23</v>
      </c>
      <c r="D23" s="57">
        <v>4664.32</v>
      </c>
      <c r="E23" s="57">
        <v>1706</v>
      </c>
      <c r="F23" s="57">
        <v>1435</v>
      </c>
    </row>
    <row r="24" spans="1:6" x14ac:dyDescent="0.25">
      <c r="A24" t="s">
        <v>967</v>
      </c>
      <c r="B24" t="s">
        <v>25</v>
      </c>
      <c r="C24">
        <v>0</v>
      </c>
      <c r="D24" s="57">
        <v>0</v>
      </c>
      <c r="E24" s="57">
        <v>0</v>
      </c>
      <c r="F24" s="57">
        <v>0</v>
      </c>
    </row>
    <row r="25" spans="1:6" x14ac:dyDescent="0.25">
      <c r="A25" t="s">
        <v>968</v>
      </c>
      <c r="B25" t="s">
        <v>21</v>
      </c>
      <c r="C25">
        <v>4</v>
      </c>
      <c r="D25" s="57">
        <v>850.98</v>
      </c>
      <c r="E25" s="57">
        <v>330.25</v>
      </c>
      <c r="F25" s="57">
        <v>215.25</v>
      </c>
    </row>
    <row r="26" spans="1:6" x14ac:dyDescent="0.25">
      <c r="A26" t="s">
        <v>968</v>
      </c>
      <c r="B26" t="s">
        <v>22</v>
      </c>
      <c r="C26">
        <v>23</v>
      </c>
      <c r="D26" s="57">
        <v>2246</v>
      </c>
      <c r="E26" s="57">
        <v>1339.75</v>
      </c>
      <c r="F26" s="57">
        <v>1269.75</v>
      </c>
    </row>
    <row r="27" spans="1:6" x14ac:dyDescent="0.25">
      <c r="A27" t="s">
        <v>968</v>
      </c>
      <c r="B27" t="s">
        <v>23</v>
      </c>
      <c r="C27">
        <v>10</v>
      </c>
      <c r="D27" s="57">
        <v>2061</v>
      </c>
      <c r="E27" s="57">
        <v>871.8</v>
      </c>
      <c r="F27" s="57">
        <v>816.8</v>
      </c>
    </row>
    <row r="28" spans="1:6" x14ac:dyDescent="0.25">
      <c r="A28" t="s">
        <v>968</v>
      </c>
      <c r="B28" t="s">
        <v>24</v>
      </c>
      <c r="C28">
        <v>14</v>
      </c>
      <c r="D28" s="57">
        <v>2052</v>
      </c>
      <c r="E28" s="57">
        <v>1141.29</v>
      </c>
      <c r="F28" s="57">
        <v>1103.29</v>
      </c>
    </row>
    <row r="29" spans="1:6" x14ac:dyDescent="0.25">
      <c r="A29" t="s">
        <v>968</v>
      </c>
      <c r="B29" t="s">
        <v>25</v>
      </c>
      <c r="C29">
        <v>0</v>
      </c>
      <c r="D29" s="57">
        <v>0</v>
      </c>
      <c r="E29" s="57">
        <v>0</v>
      </c>
      <c r="F29" s="57">
        <v>0</v>
      </c>
    </row>
    <row r="30" spans="1:6" x14ac:dyDescent="0.25">
      <c r="A30" t="s">
        <v>969</v>
      </c>
      <c r="B30" t="s">
        <v>21</v>
      </c>
      <c r="C30">
        <v>16</v>
      </c>
      <c r="D30" s="57">
        <v>3782.12</v>
      </c>
      <c r="E30" s="57">
        <v>1334.25</v>
      </c>
      <c r="F30" s="57">
        <v>1334.25</v>
      </c>
    </row>
    <row r="31" spans="1:6" x14ac:dyDescent="0.25">
      <c r="A31" t="s">
        <v>969</v>
      </c>
      <c r="B31" t="s">
        <v>22</v>
      </c>
      <c r="C31">
        <v>47</v>
      </c>
      <c r="D31" s="57">
        <v>5030</v>
      </c>
      <c r="E31" s="57">
        <v>2920</v>
      </c>
      <c r="F31" s="57">
        <v>2815</v>
      </c>
    </row>
    <row r="32" spans="1:6" x14ac:dyDescent="0.25">
      <c r="A32" t="s">
        <v>969</v>
      </c>
      <c r="B32" t="s">
        <v>23</v>
      </c>
      <c r="C32">
        <v>27</v>
      </c>
      <c r="D32" s="57">
        <v>4920.84</v>
      </c>
      <c r="E32" s="57">
        <v>2314.2399999999998</v>
      </c>
      <c r="F32" s="57">
        <v>2160.2399999999998</v>
      </c>
    </row>
    <row r="33" spans="1:6" x14ac:dyDescent="0.25">
      <c r="A33" t="s">
        <v>969</v>
      </c>
      <c r="B33" t="s">
        <v>24</v>
      </c>
      <c r="C33">
        <v>31</v>
      </c>
      <c r="D33" s="57">
        <v>5159</v>
      </c>
      <c r="E33" s="57">
        <v>2740.98</v>
      </c>
      <c r="F33" s="57">
        <v>2646.98</v>
      </c>
    </row>
    <row r="34" spans="1:6" x14ac:dyDescent="0.25">
      <c r="A34" t="s">
        <v>969</v>
      </c>
      <c r="B34" t="s">
        <v>25</v>
      </c>
      <c r="C34">
        <v>0</v>
      </c>
      <c r="D34" s="57">
        <v>0</v>
      </c>
      <c r="E34" s="57">
        <v>0</v>
      </c>
      <c r="F34" s="57">
        <v>0</v>
      </c>
    </row>
    <row r="35" spans="1:6" x14ac:dyDescent="0.25">
      <c r="A35" t="s">
        <v>970</v>
      </c>
      <c r="B35" t="s">
        <v>21</v>
      </c>
      <c r="C35">
        <v>21</v>
      </c>
      <c r="D35" s="57">
        <v>4575.96</v>
      </c>
      <c r="E35" s="57">
        <v>2609.5</v>
      </c>
      <c r="F35" s="57">
        <v>2609.5</v>
      </c>
    </row>
    <row r="36" spans="1:6" x14ac:dyDescent="0.25">
      <c r="A36" t="s">
        <v>970</v>
      </c>
      <c r="B36" t="s">
        <v>22</v>
      </c>
      <c r="C36">
        <v>64</v>
      </c>
      <c r="D36" s="57">
        <v>7407</v>
      </c>
      <c r="E36" s="57">
        <v>3574.5</v>
      </c>
      <c r="F36" s="57">
        <v>3504.5</v>
      </c>
    </row>
    <row r="37" spans="1:6" x14ac:dyDescent="0.25">
      <c r="A37" t="s">
        <v>970</v>
      </c>
      <c r="B37" t="s">
        <v>23</v>
      </c>
      <c r="C37">
        <v>38</v>
      </c>
      <c r="D37" s="57">
        <v>7224.8</v>
      </c>
      <c r="E37" s="57">
        <v>2341.79</v>
      </c>
      <c r="F37" s="57">
        <v>2176.79</v>
      </c>
    </row>
    <row r="38" spans="1:6" x14ac:dyDescent="0.25">
      <c r="A38" t="s">
        <v>970</v>
      </c>
      <c r="B38" t="s">
        <v>24</v>
      </c>
      <c r="C38">
        <v>42</v>
      </c>
      <c r="D38" s="57">
        <v>8531.48</v>
      </c>
      <c r="E38" s="57">
        <v>3814.39</v>
      </c>
      <c r="F38" s="57">
        <v>2879.99</v>
      </c>
    </row>
    <row r="39" spans="1:6" x14ac:dyDescent="0.25">
      <c r="A39" t="s">
        <v>970</v>
      </c>
      <c r="B39" t="s">
        <v>25</v>
      </c>
      <c r="C39">
        <v>0</v>
      </c>
      <c r="D39" s="57">
        <v>0</v>
      </c>
      <c r="E39" s="57">
        <v>0</v>
      </c>
      <c r="F39" s="57">
        <v>0</v>
      </c>
    </row>
    <row r="40" spans="1:6" x14ac:dyDescent="0.25">
      <c r="A40" t="s">
        <v>971</v>
      </c>
      <c r="B40" t="s">
        <v>21</v>
      </c>
      <c r="C40">
        <v>11</v>
      </c>
      <c r="D40" s="57">
        <v>1908</v>
      </c>
      <c r="E40" s="57">
        <v>818.65</v>
      </c>
      <c r="F40" s="57">
        <v>818.65</v>
      </c>
    </row>
    <row r="41" spans="1:6" x14ac:dyDescent="0.25">
      <c r="A41" t="s">
        <v>971</v>
      </c>
      <c r="B41" t="s">
        <v>22</v>
      </c>
      <c r="C41">
        <v>73</v>
      </c>
      <c r="D41" s="57">
        <v>7375</v>
      </c>
      <c r="E41" s="57">
        <v>4153.45</v>
      </c>
      <c r="F41" s="57">
        <v>3873.45</v>
      </c>
    </row>
    <row r="42" spans="1:6" x14ac:dyDescent="0.25">
      <c r="A42" t="s">
        <v>971</v>
      </c>
      <c r="B42" t="s">
        <v>23</v>
      </c>
      <c r="C42">
        <v>44</v>
      </c>
      <c r="D42" s="57">
        <v>8495.85</v>
      </c>
      <c r="E42" s="57">
        <v>3522.15</v>
      </c>
      <c r="F42" s="57">
        <v>3129.15</v>
      </c>
    </row>
    <row r="43" spans="1:6" x14ac:dyDescent="0.25">
      <c r="A43" t="s">
        <v>971</v>
      </c>
      <c r="B43" t="s">
        <v>24</v>
      </c>
      <c r="C43">
        <v>48</v>
      </c>
      <c r="D43" s="57">
        <v>8758.7099999999991</v>
      </c>
      <c r="E43" s="57">
        <v>3635.77</v>
      </c>
      <c r="F43" s="57">
        <v>3102.77</v>
      </c>
    </row>
    <row r="44" spans="1:6" x14ac:dyDescent="0.25">
      <c r="A44" t="s">
        <v>971</v>
      </c>
      <c r="B44" t="s">
        <v>25</v>
      </c>
      <c r="C44">
        <v>0</v>
      </c>
      <c r="D44" s="57">
        <v>0</v>
      </c>
      <c r="E44" s="57">
        <v>0</v>
      </c>
      <c r="F44" s="57">
        <v>0</v>
      </c>
    </row>
    <row r="45" spans="1:6" x14ac:dyDescent="0.25">
      <c r="A45" t="s">
        <v>972</v>
      </c>
      <c r="B45" t="s">
        <v>21</v>
      </c>
      <c r="C45">
        <v>7</v>
      </c>
      <c r="D45" s="57">
        <v>1301.4000000000001</v>
      </c>
      <c r="E45" s="57">
        <v>538.29999999999995</v>
      </c>
      <c r="F45" s="57">
        <v>538.29999999999995</v>
      </c>
    </row>
    <row r="46" spans="1:6" x14ac:dyDescent="0.25">
      <c r="A46" t="s">
        <v>972</v>
      </c>
      <c r="B46" t="s">
        <v>22</v>
      </c>
      <c r="C46">
        <v>22</v>
      </c>
      <c r="D46" s="57">
        <v>2429</v>
      </c>
      <c r="E46" s="57">
        <v>1444.14</v>
      </c>
      <c r="F46" s="57">
        <v>1329.14</v>
      </c>
    </row>
    <row r="47" spans="1:6" x14ac:dyDescent="0.25">
      <c r="A47" t="s">
        <v>972</v>
      </c>
      <c r="B47" t="s">
        <v>23</v>
      </c>
      <c r="C47">
        <v>15</v>
      </c>
      <c r="D47" s="57">
        <v>3577.09</v>
      </c>
      <c r="E47" s="57">
        <v>1229.19</v>
      </c>
      <c r="F47" s="57">
        <v>1179.2</v>
      </c>
    </row>
    <row r="48" spans="1:6" x14ac:dyDescent="0.25">
      <c r="A48" t="s">
        <v>972</v>
      </c>
      <c r="B48" t="s">
        <v>24</v>
      </c>
      <c r="C48">
        <v>15</v>
      </c>
      <c r="D48" s="57">
        <v>3163.47</v>
      </c>
      <c r="E48" s="57">
        <v>1302.3</v>
      </c>
      <c r="F48" s="57">
        <v>1264.3</v>
      </c>
    </row>
    <row r="49" spans="1:6" x14ac:dyDescent="0.25">
      <c r="A49" t="s">
        <v>972</v>
      </c>
      <c r="B49" t="s">
        <v>25</v>
      </c>
      <c r="C49">
        <v>0</v>
      </c>
      <c r="D49" s="57">
        <v>0</v>
      </c>
      <c r="E49" s="57">
        <v>0</v>
      </c>
      <c r="F49" s="57">
        <v>0</v>
      </c>
    </row>
    <row r="50" spans="1:6" x14ac:dyDescent="0.25">
      <c r="A50" t="s">
        <v>973</v>
      </c>
      <c r="B50" t="s">
        <v>21</v>
      </c>
      <c r="C50">
        <v>13</v>
      </c>
      <c r="D50" s="57">
        <v>2279.04</v>
      </c>
      <c r="E50" s="57">
        <v>909.81</v>
      </c>
      <c r="F50" s="57">
        <v>611.25</v>
      </c>
    </row>
    <row r="51" spans="1:6" x14ac:dyDescent="0.25">
      <c r="A51" t="s">
        <v>973</v>
      </c>
      <c r="B51" t="s">
        <v>22</v>
      </c>
      <c r="C51">
        <v>39</v>
      </c>
      <c r="D51" s="57">
        <v>3983</v>
      </c>
      <c r="E51" s="57">
        <v>2243.66</v>
      </c>
      <c r="F51" s="57">
        <v>1998.66</v>
      </c>
    </row>
    <row r="52" spans="1:6" x14ac:dyDescent="0.25">
      <c r="A52" t="s">
        <v>973</v>
      </c>
      <c r="B52" t="s">
        <v>23</v>
      </c>
      <c r="C52">
        <v>21</v>
      </c>
      <c r="D52" s="57">
        <v>3907.64</v>
      </c>
      <c r="E52" s="57">
        <v>1721.04</v>
      </c>
      <c r="F52" s="57">
        <v>1513.05</v>
      </c>
    </row>
    <row r="53" spans="1:6" x14ac:dyDescent="0.25">
      <c r="A53" t="s">
        <v>973</v>
      </c>
      <c r="B53" t="s">
        <v>24</v>
      </c>
      <c r="C53">
        <v>21</v>
      </c>
      <c r="D53" s="57">
        <v>4336</v>
      </c>
      <c r="E53" s="57">
        <v>1584.27</v>
      </c>
      <c r="F53" s="57">
        <v>1364.27</v>
      </c>
    </row>
    <row r="54" spans="1:6" x14ac:dyDescent="0.25">
      <c r="A54" t="s">
        <v>973</v>
      </c>
      <c r="B54" t="s">
        <v>25</v>
      </c>
      <c r="C54">
        <v>0</v>
      </c>
      <c r="D54" s="57">
        <v>0</v>
      </c>
      <c r="E54" s="57">
        <v>0</v>
      </c>
      <c r="F54" s="57">
        <v>0</v>
      </c>
    </row>
    <row r="55" spans="1:6" x14ac:dyDescent="0.25">
      <c r="A55" t="s">
        <v>974</v>
      </c>
      <c r="B55" t="s">
        <v>21</v>
      </c>
      <c r="C55">
        <v>11</v>
      </c>
      <c r="D55" s="57">
        <v>3061.96</v>
      </c>
      <c r="E55" s="57">
        <v>1017.25</v>
      </c>
      <c r="F55" s="57">
        <v>937.25</v>
      </c>
    </row>
    <row r="56" spans="1:6" x14ac:dyDescent="0.25">
      <c r="A56" t="s">
        <v>974</v>
      </c>
      <c r="B56" t="s">
        <v>22</v>
      </c>
      <c r="C56">
        <v>31</v>
      </c>
      <c r="D56" s="57">
        <v>3076</v>
      </c>
      <c r="E56" s="57">
        <v>1736.55</v>
      </c>
      <c r="F56" s="57">
        <v>1526.55</v>
      </c>
    </row>
    <row r="57" spans="1:6" x14ac:dyDescent="0.25">
      <c r="A57" t="s">
        <v>974</v>
      </c>
      <c r="B57" t="s">
        <v>23</v>
      </c>
      <c r="C57">
        <v>22</v>
      </c>
      <c r="D57" s="57">
        <v>4351.1499999999996</v>
      </c>
      <c r="E57" s="57">
        <v>1642.79</v>
      </c>
      <c r="F57" s="57">
        <v>1202.79</v>
      </c>
    </row>
    <row r="58" spans="1:6" x14ac:dyDescent="0.25">
      <c r="A58" t="s">
        <v>974</v>
      </c>
      <c r="B58" t="s">
        <v>24</v>
      </c>
      <c r="C58">
        <v>22</v>
      </c>
      <c r="D58" s="57">
        <v>4504.5</v>
      </c>
      <c r="E58" s="57">
        <v>1660</v>
      </c>
      <c r="F58" s="57">
        <v>1290</v>
      </c>
    </row>
    <row r="59" spans="1:6" x14ac:dyDescent="0.25">
      <c r="A59" t="s">
        <v>974</v>
      </c>
      <c r="B59" t="s">
        <v>25</v>
      </c>
      <c r="C59">
        <v>0</v>
      </c>
      <c r="D59" s="57">
        <v>0</v>
      </c>
      <c r="E59" s="57">
        <v>0</v>
      </c>
      <c r="F59" s="57">
        <v>0</v>
      </c>
    </row>
    <row r="60" spans="1:6" x14ac:dyDescent="0.25">
      <c r="A60" t="s">
        <v>975</v>
      </c>
      <c r="B60" t="s">
        <v>21</v>
      </c>
      <c r="C60">
        <v>10</v>
      </c>
      <c r="D60" s="57">
        <v>3050.85</v>
      </c>
      <c r="E60" s="57">
        <v>923.55</v>
      </c>
      <c r="F60" s="57">
        <v>463.55</v>
      </c>
    </row>
    <row r="61" spans="1:6" x14ac:dyDescent="0.25">
      <c r="A61" t="s">
        <v>975</v>
      </c>
      <c r="B61" t="s">
        <v>22</v>
      </c>
      <c r="C61">
        <v>35</v>
      </c>
      <c r="D61" s="57">
        <v>3804</v>
      </c>
      <c r="E61" s="57">
        <v>2032.95</v>
      </c>
      <c r="F61" s="57">
        <v>1962.95</v>
      </c>
    </row>
    <row r="62" spans="1:6" x14ac:dyDescent="0.25">
      <c r="A62" t="s">
        <v>975</v>
      </c>
      <c r="B62" t="s">
        <v>23</v>
      </c>
      <c r="C62">
        <v>26</v>
      </c>
      <c r="D62" s="57">
        <v>5268.77</v>
      </c>
      <c r="E62" s="57">
        <v>2176.69</v>
      </c>
      <c r="F62" s="57">
        <v>2011.69</v>
      </c>
    </row>
    <row r="63" spans="1:6" x14ac:dyDescent="0.25">
      <c r="A63" t="s">
        <v>975</v>
      </c>
      <c r="B63" t="s">
        <v>24</v>
      </c>
      <c r="C63">
        <v>27</v>
      </c>
      <c r="D63" s="57">
        <v>5803.98</v>
      </c>
      <c r="E63" s="57">
        <v>2517.5</v>
      </c>
      <c r="F63" s="57">
        <v>2297.5</v>
      </c>
    </row>
    <row r="64" spans="1:6" x14ac:dyDescent="0.25">
      <c r="A64" t="s">
        <v>975</v>
      </c>
      <c r="B64" t="s">
        <v>25</v>
      </c>
      <c r="C64">
        <v>0</v>
      </c>
      <c r="D64" s="57">
        <v>0</v>
      </c>
      <c r="E64" s="57">
        <v>0</v>
      </c>
      <c r="F64" s="57">
        <v>0</v>
      </c>
    </row>
    <row r="65" spans="1:6" x14ac:dyDescent="0.25">
      <c r="A65" t="s">
        <v>976</v>
      </c>
      <c r="B65" t="s">
        <v>21</v>
      </c>
      <c r="C65">
        <v>9</v>
      </c>
      <c r="D65" s="57">
        <v>2233.2800000000002</v>
      </c>
      <c r="E65" s="57">
        <v>549</v>
      </c>
      <c r="F65" s="57">
        <v>405</v>
      </c>
    </row>
    <row r="66" spans="1:6" x14ac:dyDescent="0.25">
      <c r="A66" t="s">
        <v>976</v>
      </c>
      <c r="B66" t="s">
        <v>22</v>
      </c>
      <c r="C66">
        <v>37</v>
      </c>
      <c r="D66" s="57">
        <v>4163</v>
      </c>
      <c r="E66" s="57">
        <v>2301.8000000000002</v>
      </c>
      <c r="F66" s="57">
        <v>2075.8000000000002</v>
      </c>
    </row>
    <row r="67" spans="1:6" x14ac:dyDescent="0.25">
      <c r="A67" t="s">
        <v>976</v>
      </c>
      <c r="B67" t="s">
        <v>23</v>
      </c>
      <c r="C67">
        <v>26</v>
      </c>
      <c r="D67" s="57">
        <v>4831.13</v>
      </c>
      <c r="E67" s="57">
        <v>2051.38</v>
      </c>
      <c r="F67" s="57">
        <v>1831.38</v>
      </c>
    </row>
    <row r="68" spans="1:6" x14ac:dyDescent="0.25">
      <c r="A68" t="s">
        <v>976</v>
      </c>
      <c r="B68" t="s">
        <v>24</v>
      </c>
      <c r="C68">
        <v>25</v>
      </c>
      <c r="D68" s="57">
        <v>4518</v>
      </c>
      <c r="E68" s="57">
        <v>2055.29</v>
      </c>
      <c r="F68" s="57">
        <v>1878.29</v>
      </c>
    </row>
    <row r="69" spans="1:6" x14ac:dyDescent="0.25">
      <c r="A69" t="s">
        <v>976</v>
      </c>
      <c r="B69" t="s">
        <v>25</v>
      </c>
      <c r="C69">
        <v>0</v>
      </c>
      <c r="D69" s="57">
        <v>0</v>
      </c>
      <c r="E69" s="57">
        <v>0</v>
      </c>
      <c r="F69" s="57">
        <v>0</v>
      </c>
    </row>
    <row r="70" spans="1:6" x14ac:dyDescent="0.25">
      <c r="A70" t="s">
        <v>977</v>
      </c>
      <c r="B70" t="s">
        <v>21</v>
      </c>
      <c r="C70">
        <v>7</v>
      </c>
      <c r="D70" s="57">
        <v>1363.48</v>
      </c>
      <c r="E70" s="57">
        <v>645.95000000000005</v>
      </c>
      <c r="F70" s="57">
        <v>375.95</v>
      </c>
    </row>
    <row r="71" spans="1:6" x14ac:dyDescent="0.25">
      <c r="A71" t="s">
        <v>977</v>
      </c>
      <c r="B71" t="s">
        <v>22</v>
      </c>
      <c r="C71">
        <v>28</v>
      </c>
      <c r="D71" s="57">
        <v>2768</v>
      </c>
      <c r="E71" s="57">
        <v>1440.05</v>
      </c>
      <c r="F71" s="57">
        <v>1125.05</v>
      </c>
    </row>
    <row r="72" spans="1:6" x14ac:dyDescent="0.25">
      <c r="A72" t="s">
        <v>977</v>
      </c>
      <c r="B72" t="s">
        <v>23</v>
      </c>
      <c r="C72">
        <v>19</v>
      </c>
      <c r="D72" s="57">
        <v>3010.23</v>
      </c>
      <c r="E72" s="57">
        <v>1332.2</v>
      </c>
      <c r="F72" s="57">
        <v>871.2</v>
      </c>
    </row>
    <row r="73" spans="1:6" x14ac:dyDescent="0.25">
      <c r="A73" t="s">
        <v>977</v>
      </c>
      <c r="B73" t="s">
        <v>24</v>
      </c>
      <c r="C73">
        <v>23</v>
      </c>
      <c r="D73" s="57">
        <v>4904.32</v>
      </c>
      <c r="E73" s="57">
        <v>1551.77</v>
      </c>
      <c r="F73" s="57">
        <v>1057.77</v>
      </c>
    </row>
    <row r="74" spans="1:6" x14ac:dyDescent="0.25">
      <c r="A74" t="s">
        <v>977</v>
      </c>
      <c r="B74" t="s">
        <v>25</v>
      </c>
      <c r="C74">
        <v>0</v>
      </c>
      <c r="D74" s="57">
        <v>0</v>
      </c>
      <c r="E74" s="57">
        <v>0</v>
      </c>
      <c r="F74" s="57">
        <v>0</v>
      </c>
    </row>
    <row r="75" spans="1:6" x14ac:dyDescent="0.25">
      <c r="A75" t="s">
        <v>978</v>
      </c>
      <c r="B75" t="s">
        <v>21</v>
      </c>
      <c r="C75">
        <v>5</v>
      </c>
      <c r="D75" s="57">
        <v>763.96</v>
      </c>
      <c r="E75" s="57">
        <v>513.5</v>
      </c>
      <c r="F75" s="57">
        <v>513.5</v>
      </c>
    </row>
    <row r="76" spans="1:6" x14ac:dyDescent="0.25">
      <c r="A76" t="s">
        <v>978</v>
      </c>
      <c r="B76" t="s">
        <v>22</v>
      </c>
      <c r="C76">
        <v>42</v>
      </c>
      <c r="D76" s="57">
        <v>4250</v>
      </c>
      <c r="E76" s="57">
        <v>2123.5</v>
      </c>
      <c r="F76" s="57">
        <v>1668.5</v>
      </c>
    </row>
    <row r="77" spans="1:6" x14ac:dyDescent="0.25">
      <c r="A77" t="s">
        <v>978</v>
      </c>
      <c r="B77" t="s">
        <v>23</v>
      </c>
      <c r="C77">
        <v>28</v>
      </c>
      <c r="D77" s="57">
        <v>4945.12</v>
      </c>
      <c r="E77" s="57">
        <v>2037.24</v>
      </c>
      <c r="F77" s="57">
        <v>1404.24</v>
      </c>
    </row>
    <row r="78" spans="1:6" x14ac:dyDescent="0.25">
      <c r="A78" t="s">
        <v>978</v>
      </c>
      <c r="B78" t="s">
        <v>24</v>
      </c>
      <c r="C78">
        <v>30</v>
      </c>
      <c r="D78" s="57">
        <v>5455.45</v>
      </c>
      <c r="E78" s="57">
        <v>2205.54</v>
      </c>
      <c r="F78" s="57">
        <v>1711.54</v>
      </c>
    </row>
    <row r="79" spans="1:6" x14ac:dyDescent="0.25">
      <c r="A79" t="s">
        <v>978</v>
      </c>
      <c r="B79" t="s">
        <v>25</v>
      </c>
      <c r="C79">
        <v>0</v>
      </c>
      <c r="D79" s="57">
        <v>0</v>
      </c>
      <c r="E79" s="57">
        <v>0</v>
      </c>
      <c r="F79" s="57">
        <v>0</v>
      </c>
    </row>
    <row r="80" spans="1:6" x14ac:dyDescent="0.25">
      <c r="A80" t="s">
        <v>979</v>
      </c>
      <c r="B80" t="s">
        <v>21</v>
      </c>
      <c r="C80">
        <v>6</v>
      </c>
      <c r="D80" s="57">
        <v>872</v>
      </c>
      <c r="E80" s="57">
        <v>540.1</v>
      </c>
      <c r="F80" s="57">
        <v>540.1</v>
      </c>
    </row>
    <row r="81" spans="1:6" x14ac:dyDescent="0.25">
      <c r="A81" t="s">
        <v>979</v>
      </c>
      <c r="B81" t="s">
        <v>22</v>
      </c>
      <c r="C81">
        <v>26</v>
      </c>
      <c r="D81" s="57">
        <v>2630</v>
      </c>
      <c r="E81" s="57">
        <v>1525.9</v>
      </c>
      <c r="F81" s="57">
        <v>1455.9</v>
      </c>
    </row>
    <row r="82" spans="1:6" x14ac:dyDescent="0.25">
      <c r="A82" t="s">
        <v>979</v>
      </c>
      <c r="B82" t="s">
        <v>23</v>
      </c>
      <c r="C82">
        <v>12</v>
      </c>
      <c r="D82" s="57">
        <v>2061.17</v>
      </c>
      <c r="E82" s="57">
        <v>866.12</v>
      </c>
      <c r="F82" s="57">
        <v>646.13</v>
      </c>
    </row>
    <row r="83" spans="1:6" x14ac:dyDescent="0.25">
      <c r="A83" t="s">
        <v>979</v>
      </c>
      <c r="B83" t="s">
        <v>24</v>
      </c>
      <c r="C83">
        <v>15</v>
      </c>
      <c r="D83" s="57">
        <v>2316.33</v>
      </c>
      <c r="E83" s="57">
        <v>1009.4</v>
      </c>
      <c r="F83" s="57">
        <v>805.4</v>
      </c>
    </row>
    <row r="84" spans="1:6" x14ac:dyDescent="0.25">
      <c r="A84" t="s">
        <v>979</v>
      </c>
      <c r="B84" t="s">
        <v>25</v>
      </c>
      <c r="C84">
        <v>0</v>
      </c>
      <c r="D84" s="57">
        <v>0</v>
      </c>
      <c r="E84" s="57">
        <v>0</v>
      </c>
      <c r="F84" s="57">
        <v>0</v>
      </c>
    </row>
    <row r="85" spans="1:6" x14ac:dyDescent="0.25">
      <c r="A85" t="s">
        <v>980</v>
      </c>
      <c r="B85" t="s">
        <v>21</v>
      </c>
      <c r="C85">
        <v>10</v>
      </c>
      <c r="D85" s="57">
        <v>1318.18</v>
      </c>
      <c r="E85" s="57">
        <v>511.96</v>
      </c>
      <c r="F85" s="57">
        <v>453.4</v>
      </c>
    </row>
    <row r="86" spans="1:6" x14ac:dyDescent="0.25">
      <c r="A86" t="s">
        <v>980</v>
      </c>
      <c r="B86" t="s">
        <v>22</v>
      </c>
      <c r="C86">
        <v>33</v>
      </c>
      <c r="D86" s="57">
        <v>3552</v>
      </c>
      <c r="E86" s="57">
        <v>2124.04</v>
      </c>
      <c r="F86" s="57">
        <v>2019.04</v>
      </c>
    </row>
    <row r="87" spans="1:6" x14ac:dyDescent="0.25">
      <c r="A87" t="s">
        <v>980</v>
      </c>
      <c r="B87" t="s">
        <v>23</v>
      </c>
      <c r="C87">
        <v>17</v>
      </c>
      <c r="D87" s="57">
        <v>3645.08</v>
      </c>
      <c r="E87" s="57">
        <v>1473.44</v>
      </c>
      <c r="F87" s="57">
        <v>1253.44</v>
      </c>
    </row>
    <row r="88" spans="1:6" x14ac:dyDescent="0.25">
      <c r="A88" t="s">
        <v>980</v>
      </c>
      <c r="B88" t="s">
        <v>24</v>
      </c>
      <c r="C88">
        <v>18</v>
      </c>
      <c r="D88" s="57">
        <v>3180.5</v>
      </c>
      <c r="E88" s="57">
        <v>1229.3800000000001</v>
      </c>
      <c r="F88" s="57">
        <v>975.38</v>
      </c>
    </row>
    <row r="89" spans="1:6" x14ac:dyDescent="0.25">
      <c r="A89" t="s">
        <v>980</v>
      </c>
      <c r="B89" t="s">
        <v>25</v>
      </c>
      <c r="C89">
        <v>0</v>
      </c>
      <c r="D89" s="57">
        <v>0</v>
      </c>
      <c r="E89" s="57">
        <v>0</v>
      </c>
      <c r="F89" s="57">
        <v>0</v>
      </c>
    </row>
    <row r="90" spans="1:6" x14ac:dyDescent="0.25">
      <c r="A90" t="s">
        <v>981</v>
      </c>
      <c r="B90" t="s">
        <v>21</v>
      </c>
      <c r="C90">
        <v>14</v>
      </c>
      <c r="D90" s="57">
        <v>3252</v>
      </c>
      <c r="E90" s="57">
        <v>1309.3499999999999</v>
      </c>
      <c r="F90" s="57">
        <v>1309.3499999999999</v>
      </c>
    </row>
    <row r="91" spans="1:6" x14ac:dyDescent="0.25">
      <c r="A91" t="s">
        <v>981</v>
      </c>
      <c r="B91" t="s">
        <v>22</v>
      </c>
      <c r="C91">
        <v>39</v>
      </c>
      <c r="D91" s="57">
        <v>4054</v>
      </c>
      <c r="E91" s="57">
        <v>2299.4499999999998</v>
      </c>
      <c r="F91" s="57">
        <v>2159.4499999999998</v>
      </c>
    </row>
    <row r="92" spans="1:6" x14ac:dyDescent="0.25">
      <c r="A92" t="s">
        <v>981</v>
      </c>
      <c r="B92" t="s">
        <v>23</v>
      </c>
      <c r="C92">
        <v>20</v>
      </c>
      <c r="D92" s="57">
        <v>3536.93</v>
      </c>
      <c r="E92" s="57">
        <v>1519.4</v>
      </c>
      <c r="F92" s="57">
        <v>1195.4000000000001</v>
      </c>
    </row>
    <row r="93" spans="1:6" x14ac:dyDescent="0.25">
      <c r="A93" t="s">
        <v>981</v>
      </c>
      <c r="B93" t="s">
        <v>24</v>
      </c>
      <c r="C93">
        <v>25</v>
      </c>
      <c r="D93" s="57">
        <v>4830.97</v>
      </c>
      <c r="E93" s="57">
        <v>1999.06</v>
      </c>
      <c r="F93" s="57">
        <v>1746.06</v>
      </c>
    </row>
    <row r="94" spans="1:6" x14ac:dyDescent="0.25">
      <c r="A94" t="s">
        <v>981</v>
      </c>
      <c r="B94" t="s">
        <v>25</v>
      </c>
      <c r="C94">
        <v>0</v>
      </c>
      <c r="D94" s="57">
        <v>0</v>
      </c>
      <c r="E94" s="57">
        <v>0</v>
      </c>
      <c r="F94" s="57">
        <v>0</v>
      </c>
    </row>
    <row r="95" spans="1:6" x14ac:dyDescent="0.25">
      <c r="A95" t="s">
        <v>982</v>
      </c>
      <c r="B95" t="s">
        <v>21</v>
      </c>
      <c r="C95">
        <v>27</v>
      </c>
      <c r="D95" s="57">
        <v>4954.4399999999996</v>
      </c>
      <c r="E95" s="57">
        <v>2256.1</v>
      </c>
      <c r="F95" s="57">
        <v>2141.1</v>
      </c>
    </row>
    <row r="96" spans="1:6" x14ac:dyDescent="0.25">
      <c r="A96" t="s">
        <v>982</v>
      </c>
      <c r="B96" t="s">
        <v>22</v>
      </c>
      <c r="C96">
        <v>93</v>
      </c>
      <c r="D96" s="57">
        <v>10931</v>
      </c>
      <c r="E96" s="57">
        <v>5889.45</v>
      </c>
      <c r="F96" s="57">
        <v>5889.45</v>
      </c>
    </row>
    <row r="97" spans="1:6" x14ac:dyDescent="0.25">
      <c r="A97" t="s">
        <v>982</v>
      </c>
      <c r="B97" t="s">
        <v>23</v>
      </c>
      <c r="C97">
        <v>62</v>
      </c>
      <c r="D97" s="57">
        <v>11965.02</v>
      </c>
      <c r="E97" s="57">
        <v>5169.7</v>
      </c>
      <c r="F97" s="57">
        <v>5051.7</v>
      </c>
    </row>
    <row r="98" spans="1:6" x14ac:dyDescent="0.25">
      <c r="A98" t="s">
        <v>982</v>
      </c>
      <c r="B98" t="s">
        <v>24</v>
      </c>
      <c r="C98">
        <v>63</v>
      </c>
      <c r="D98" s="57">
        <v>13199.99</v>
      </c>
      <c r="E98" s="57">
        <v>5728.81</v>
      </c>
      <c r="F98" s="57">
        <v>5585.81</v>
      </c>
    </row>
    <row r="99" spans="1:6" x14ac:dyDescent="0.25">
      <c r="A99" t="s">
        <v>982</v>
      </c>
      <c r="B99" t="s">
        <v>25</v>
      </c>
      <c r="C99">
        <v>0</v>
      </c>
      <c r="D99" s="57">
        <v>0</v>
      </c>
      <c r="E99" s="57">
        <v>0</v>
      </c>
      <c r="F99" s="57">
        <v>0</v>
      </c>
    </row>
    <row r="100" spans="1:6" x14ac:dyDescent="0.25">
      <c r="A100" t="s">
        <v>983</v>
      </c>
      <c r="B100" t="s">
        <v>21</v>
      </c>
      <c r="C100">
        <v>18</v>
      </c>
      <c r="D100" s="57">
        <v>4810.1099999999997</v>
      </c>
      <c r="E100" s="57">
        <v>1229.5</v>
      </c>
      <c r="F100" s="57">
        <v>1229.5</v>
      </c>
    </row>
    <row r="101" spans="1:6" x14ac:dyDescent="0.25">
      <c r="A101" t="s">
        <v>983</v>
      </c>
      <c r="B101" t="s">
        <v>22</v>
      </c>
      <c r="C101">
        <v>78</v>
      </c>
      <c r="D101" s="57">
        <v>9055</v>
      </c>
      <c r="E101" s="57">
        <v>4881</v>
      </c>
      <c r="F101" s="57">
        <v>4811</v>
      </c>
    </row>
    <row r="102" spans="1:6" x14ac:dyDescent="0.25">
      <c r="A102" t="s">
        <v>983</v>
      </c>
      <c r="B102" t="s">
        <v>23</v>
      </c>
      <c r="C102">
        <v>52</v>
      </c>
      <c r="D102" s="57">
        <v>10080.11</v>
      </c>
      <c r="E102" s="57">
        <v>4295.8999999999996</v>
      </c>
      <c r="F102" s="57">
        <v>4075.9</v>
      </c>
    </row>
    <row r="103" spans="1:6" x14ac:dyDescent="0.25">
      <c r="A103" t="s">
        <v>983</v>
      </c>
      <c r="B103" t="s">
        <v>24</v>
      </c>
      <c r="C103">
        <v>53</v>
      </c>
      <c r="D103" s="57">
        <v>10432.49</v>
      </c>
      <c r="E103" s="57">
        <v>4369.1099999999997</v>
      </c>
      <c r="F103" s="57">
        <v>4217.1099999999997</v>
      </c>
    </row>
    <row r="104" spans="1:6" x14ac:dyDescent="0.25">
      <c r="A104" t="s">
        <v>983</v>
      </c>
      <c r="B104" t="s">
        <v>25</v>
      </c>
      <c r="C104">
        <v>0</v>
      </c>
      <c r="D104" s="57">
        <v>0</v>
      </c>
      <c r="E104" s="57">
        <v>0</v>
      </c>
      <c r="F104" s="57">
        <v>0</v>
      </c>
    </row>
    <row r="105" spans="1:6" x14ac:dyDescent="0.25">
      <c r="A105" t="s">
        <v>984</v>
      </c>
      <c r="B105" t="s">
        <v>21</v>
      </c>
      <c r="C105">
        <v>9</v>
      </c>
      <c r="D105" s="57">
        <v>2404.25</v>
      </c>
      <c r="E105" s="57">
        <v>730.5</v>
      </c>
      <c r="F105" s="57">
        <v>604</v>
      </c>
    </row>
    <row r="106" spans="1:6" x14ac:dyDescent="0.25">
      <c r="A106" t="s">
        <v>984</v>
      </c>
      <c r="B106" t="s">
        <v>22</v>
      </c>
      <c r="C106">
        <v>19</v>
      </c>
      <c r="D106" s="57">
        <v>2351.5</v>
      </c>
      <c r="E106" s="57">
        <v>1174.25</v>
      </c>
      <c r="F106" s="57">
        <v>1000.75</v>
      </c>
    </row>
    <row r="107" spans="1:6" x14ac:dyDescent="0.25">
      <c r="A107" t="s">
        <v>984</v>
      </c>
      <c r="B107" t="s">
        <v>23</v>
      </c>
      <c r="C107">
        <v>12</v>
      </c>
      <c r="D107" s="57">
        <v>2452.5</v>
      </c>
      <c r="E107" s="57">
        <v>953.48</v>
      </c>
      <c r="F107" s="57">
        <v>850.98</v>
      </c>
    </row>
    <row r="108" spans="1:6" x14ac:dyDescent="0.25">
      <c r="A108" t="s">
        <v>984</v>
      </c>
      <c r="B108" t="s">
        <v>24</v>
      </c>
      <c r="C108">
        <v>13</v>
      </c>
      <c r="D108" s="57">
        <v>2498.34</v>
      </c>
      <c r="E108" s="57">
        <v>891.9</v>
      </c>
      <c r="F108" s="57">
        <v>815.9</v>
      </c>
    </row>
    <row r="109" spans="1:6" x14ac:dyDescent="0.25">
      <c r="A109" t="s">
        <v>984</v>
      </c>
      <c r="B109" t="s">
        <v>25</v>
      </c>
      <c r="C109">
        <v>0</v>
      </c>
      <c r="D109" s="57">
        <v>0</v>
      </c>
      <c r="E109" s="57">
        <v>0</v>
      </c>
      <c r="F109" s="57">
        <v>0</v>
      </c>
    </row>
    <row r="110" spans="1:6" x14ac:dyDescent="0.25">
      <c r="A110" t="s">
        <v>985</v>
      </c>
      <c r="B110" t="s">
        <v>21</v>
      </c>
      <c r="C110">
        <v>12</v>
      </c>
      <c r="D110" s="57">
        <v>2401.71</v>
      </c>
      <c r="E110" s="57">
        <v>1111.25</v>
      </c>
      <c r="F110" s="57">
        <v>928.25</v>
      </c>
    </row>
    <row r="111" spans="1:6" x14ac:dyDescent="0.25">
      <c r="A111" t="s">
        <v>985</v>
      </c>
      <c r="B111" t="s">
        <v>22</v>
      </c>
      <c r="C111">
        <v>24</v>
      </c>
      <c r="D111" s="57">
        <v>2479</v>
      </c>
      <c r="E111" s="57">
        <v>1480.25</v>
      </c>
      <c r="F111" s="57">
        <v>1433.25</v>
      </c>
    </row>
    <row r="112" spans="1:6" x14ac:dyDescent="0.25">
      <c r="A112" t="s">
        <v>985</v>
      </c>
      <c r="B112" t="s">
        <v>23</v>
      </c>
      <c r="C112">
        <v>17</v>
      </c>
      <c r="D112" s="57">
        <v>3151.23</v>
      </c>
      <c r="E112" s="57">
        <v>1427.63</v>
      </c>
      <c r="F112" s="57">
        <v>1427.63</v>
      </c>
    </row>
    <row r="113" spans="1:6" x14ac:dyDescent="0.25">
      <c r="A113" t="s">
        <v>985</v>
      </c>
      <c r="B113" t="s">
        <v>24</v>
      </c>
      <c r="C113">
        <v>18</v>
      </c>
      <c r="D113" s="57">
        <v>3481.98</v>
      </c>
      <c r="E113" s="57">
        <v>1515</v>
      </c>
      <c r="F113" s="57">
        <v>1515</v>
      </c>
    </row>
    <row r="114" spans="1:6" x14ac:dyDescent="0.25">
      <c r="A114" t="s">
        <v>985</v>
      </c>
      <c r="B114" t="s">
        <v>25</v>
      </c>
      <c r="C114">
        <v>0</v>
      </c>
      <c r="D114" s="57">
        <v>0</v>
      </c>
      <c r="E114" s="57">
        <v>0</v>
      </c>
      <c r="F114" s="57">
        <v>0</v>
      </c>
    </row>
    <row r="115" spans="1:6" x14ac:dyDescent="0.25">
      <c r="A115" t="s">
        <v>986</v>
      </c>
      <c r="B115" t="s">
        <v>21</v>
      </c>
      <c r="C115">
        <v>7</v>
      </c>
      <c r="D115" s="57">
        <v>1617.4</v>
      </c>
      <c r="E115" s="57">
        <v>512.5</v>
      </c>
      <c r="F115" s="57">
        <v>512.5</v>
      </c>
    </row>
    <row r="116" spans="1:6" x14ac:dyDescent="0.25">
      <c r="A116" t="s">
        <v>986</v>
      </c>
      <c r="B116" t="s">
        <v>22</v>
      </c>
      <c r="C116">
        <v>41</v>
      </c>
      <c r="D116" s="57">
        <v>4407</v>
      </c>
      <c r="E116" s="57">
        <v>2283.5</v>
      </c>
      <c r="F116" s="57">
        <v>2073.5</v>
      </c>
    </row>
    <row r="117" spans="1:6" x14ac:dyDescent="0.25">
      <c r="A117" t="s">
        <v>986</v>
      </c>
      <c r="B117" t="s">
        <v>23</v>
      </c>
      <c r="C117">
        <v>31</v>
      </c>
      <c r="D117" s="57">
        <v>6063.12</v>
      </c>
      <c r="E117" s="57">
        <v>2211.37</v>
      </c>
      <c r="F117" s="57">
        <v>1640.87</v>
      </c>
    </row>
    <row r="118" spans="1:6" x14ac:dyDescent="0.25">
      <c r="A118" t="s">
        <v>986</v>
      </c>
      <c r="B118" t="s">
        <v>24</v>
      </c>
      <c r="C118">
        <v>33</v>
      </c>
      <c r="D118" s="57">
        <v>5474.79</v>
      </c>
      <c r="E118" s="57">
        <v>2427.44</v>
      </c>
      <c r="F118" s="57">
        <v>1904.44</v>
      </c>
    </row>
    <row r="119" spans="1:6" x14ac:dyDescent="0.25">
      <c r="A119" t="s">
        <v>986</v>
      </c>
      <c r="B119" t="s">
        <v>25</v>
      </c>
      <c r="C119">
        <v>0</v>
      </c>
      <c r="D119" s="57">
        <v>0</v>
      </c>
      <c r="E119" s="57">
        <v>0</v>
      </c>
      <c r="F119" s="57">
        <v>0</v>
      </c>
    </row>
    <row r="120" spans="1:6" x14ac:dyDescent="0.25">
      <c r="A120" t="s">
        <v>987</v>
      </c>
      <c r="B120" t="s">
        <v>21</v>
      </c>
      <c r="C120">
        <v>7</v>
      </c>
      <c r="D120" s="57">
        <v>1546</v>
      </c>
      <c r="E120" s="57">
        <v>558.20000000000005</v>
      </c>
      <c r="F120" s="57">
        <v>558.20000000000005</v>
      </c>
    </row>
    <row r="121" spans="1:6" x14ac:dyDescent="0.25">
      <c r="A121" t="s">
        <v>987</v>
      </c>
      <c r="B121" t="s">
        <v>22</v>
      </c>
      <c r="C121">
        <v>39</v>
      </c>
      <c r="D121" s="57">
        <v>4082</v>
      </c>
      <c r="E121" s="57">
        <v>2323.8000000000002</v>
      </c>
      <c r="F121" s="57">
        <v>2183.8000000000002</v>
      </c>
    </row>
    <row r="122" spans="1:6" x14ac:dyDescent="0.25">
      <c r="A122" t="s">
        <v>987</v>
      </c>
      <c r="B122" t="s">
        <v>23</v>
      </c>
      <c r="C122">
        <v>27</v>
      </c>
      <c r="D122" s="57">
        <v>5383.94</v>
      </c>
      <c r="E122" s="57">
        <v>2191.37</v>
      </c>
      <c r="F122" s="57">
        <v>2026.37</v>
      </c>
    </row>
    <row r="123" spans="1:6" x14ac:dyDescent="0.25">
      <c r="A123" t="s">
        <v>987</v>
      </c>
      <c r="B123" t="s">
        <v>24</v>
      </c>
      <c r="C123">
        <v>32</v>
      </c>
      <c r="D123" s="57">
        <v>6101.5</v>
      </c>
      <c r="E123" s="57">
        <v>2753.8</v>
      </c>
      <c r="F123" s="57">
        <v>2391.8000000000002</v>
      </c>
    </row>
    <row r="124" spans="1:6" x14ac:dyDescent="0.25">
      <c r="A124" t="s">
        <v>987</v>
      </c>
      <c r="B124" t="s">
        <v>25</v>
      </c>
      <c r="C124">
        <v>0</v>
      </c>
      <c r="D124" s="57">
        <v>0</v>
      </c>
      <c r="E124" s="57">
        <v>0</v>
      </c>
      <c r="F124" s="57">
        <v>0</v>
      </c>
    </row>
    <row r="125" spans="1:6" x14ac:dyDescent="0.25">
      <c r="A125" t="s">
        <v>988</v>
      </c>
      <c r="B125" t="s">
        <v>21</v>
      </c>
      <c r="C125">
        <v>4</v>
      </c>
      <c r="D125" s="57">
        <v>1105</v>
      </c>
      <c r="E125" s="57">
        <v>408.25</v>
      </c>
      <c r="F125" s="57">
        <v>408.25</v>
      </c>
    </row>
    <row r="126" spans="1:6" x14ac:dyDescent="0.25">
      <c r="A126" t="s">
        <v>988</v>
      </c>
      <c r="B126" t="s">
        <v>22</v>
      </c>
      <c r="C126">
        <v>18</v>
      </c>
      <c r="D126" s="57">
        <v>2005</v>
      </c>
      <c r="E126" s="57">
        <v>1019.15</v>
      </c>
      <c r="F126" s="57">
        <v>984.15</v>
      </c>
    </row>
    <row r="127" spans="1:6" x14ac:dyDescent="0.25">
      <c r="A127" t="s">
        <v>988</v>
      </c>
      <c r="B127" t="s">
        <v>23</v>
      </c>
      <c r="C127">
        <v>13</v>
      </c>
      <c r="D127" s="57">
        <v>2539</v>
      </c>
      <c r="E127" s="57">
        <v>1044.32</v>
      </c>
      <c r="F127" s="57">
        <v>989.32</v>
      </c>
    </row>
    <row r="128" spans="1:6" x14ac:dyDescent="0.25">
      <c r="A128" t="s">
        <v>988</v>
      </c>
      <c r="B128" t="s">
        <v>24</v>
      </c>
      <c r="C128">
        <v>15</v>
      </c>
      <c r="D128" s="57">
        <v>2400</v>
      </c>
      <c r="E128" s="57">
        <v>1341.52</v>
      </c>
      <c r="F128" s="57">
        <v>1303.52</v>
      </c>
    </row>
    <row r="129" spans="1:6" x14ac:dyDescent="0.25">
      <c r="A129" t="s">
        <v>988</v>
      </c>
      <c r="B129" t="s">
        <v>25</v>
      </c>
      <c r="C129">
        <v>0</v>
      </c>
      <c r="D129" s="57">
        <v>0</v>
      </c>
      <c r="E129" s="57">
        <v>0</v>
      </c>
      <c r="F129" s="57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8D8F2-5286-4010-9933-8AB7DD276376}">
  <sheetPr codeName="Sheet45"/>
  <dimension ref="A1:W15"/>
  <sheetViews>
    <sheetView workbookViewId="0"/>
  </sheetViews>
  <sheetFormatPr defaultRowHeight="15" x14ac:dyDescent="0.25"/>
  <sheetData>
    <row r="1" spans="1:23" x14ac:dyDescent="0.25">
      <c r="A1">
        <v>2017</v>
      </c>
      <c r="B1" t="s">
        <v>1001</v>
      </c>
      <c r="I1">
        <v>2018</v>
      </c>
      <c r="J1" t="s">
        <v>1001</v>
      </c>
      <c r="Q1">
        <v>2019</v>
      </c>
      <c r="R1" t="s">
        <v>1001</v>
      </c>
    </row>
    <row r="2" spans="1:23" x14ac:dyDescent="0.25">
      <c r="A2" t="s">
        <v>0</v>
      </c>
      <c r="B2" t="s">
        <v>960</v>
      </c>
      <c r="C2" t="s">
        <v>961</v>
      </c>
      <c r="D2" t="s">
        <v>962</v>
      </c>
      <c r="E2" t="s">
        <v>1002</v>
      </c>
      <c r="F2" t="s">
        <v>964</v>
      </c>
      <c r="G2" t="s">
        <v>13</v>
      </c>
      <c r="I2" t="s">
        <v>0</v>
      </c>
      <c r="J2" t="s">
        <v>960</v>
      </c>
      <c r="K2" t="s">
        <v>961</v>
      </c>
      <c r="L2" t="s">
        <v>962</v>
      </c>
      <c r="M2" t="s">
        <v>1002</v>
      </c>
      <c r="N2" t="s">
        <v>964</v>
      </c>
      <c r="O2" t="s">
        <v>13</v>
      </c>
      <c r="Q2" t="s">
        <v>0</v>
      </c>
      <c r="R2" t="s">
        <v>960</v>
      </c>
      <c r="S2" t="s">
        <v>961</v>
      </c>
      <c r="T2" t="s">
        <v>962</v>
      </c>
      <c r="U2" t="s">
        <v>1002</v>
      </c>
      <c r="V2" t="s">
        <v>964</v>
      </c>
      <c r="W2" t="s">
        <v>13</v>
      </c>
    </row>
    <row r="3" spans="1:23" x14ac:dyDescent="0.25">
      <c r="A3">
        <v>1</v>
      </c>
      <c r="B3">
        <v>11445.7</v>
      </c>
      <c r="C3">
        <v>525.86</v>
      </c>
      <c r="D3">
        <v>11296.03</v>
      </c>
      <c r="E3">
        <v>1147.04</v>
      </c>
      <c r="F3">
        <v>2983.63</v>
      </c>
      <c r="G3">
        <v>27398.260000000006</v>
      </c>
      <c r="I3">
        <v>1</v>
      </c>
      <c r="J3">
        <v>14455.4</v>
      </c>
      <c r="K3">
        <v>5802.79</v>
      </c>
      <c r="L3">
        <v>80037.679999999993</v>
      </c>
      <c r="M3">
        <v>17886.28</v>
      </c>
      <c r="N3">
        <v>118312.31</v>
      </c>
      <c r="O3">
        <v>236494.46</v>
      </c>
      <c r="Q3">
        <v>1</v>
      </c>
      <c r="R3">
        <v>170855.3</v>
      </c>
      <c r="S3">
        <v>4231.32</v>
      </c>
      <c r="T3">
        <v>52048.91</v>
      </c>
      <c r="U3">
        <v>1834.71</v>
      </c>
      <c r="V3">
        <v>62606.22</v>
      </c>
      <c r="W3">
        <v>291576.45999999996</v>
      </c>
    </row>
    <row r="4" spans="1:23" x14ac:dyDescent="0.25">
      <c r="A4">
        <v>2</v>
      </c>
      <c r="B4">
        <v>572317.05000000005</v>
      </c>
      <c r="C4">
        <v>17257.22</v>
      </c>
      <c r="D4">
        <v>90552.66</v>
      </c>
      <c r="E4">
        <v>7386.06</v>
      </c>
      <c r="F4">
        <v>114374.04</v>
      </c>
      <c r="G4">
        <v>801887.03000000014</v>
      </c>
      <c r="I4">
        <v>2</v>
      </c>
      <c r="J4">
        <v>93974.28</v>
      </c>
      <c r="K4">
        <v>5827.86</v>
      </c>
      <c r="L4">
        <v>77178.81</v>
      </c>
      <c r="M4">
        <v>16069.08</v>
      </c>
      <c r="N4">
        <v>131418.1</v>
      </c>
      <c r="O4">
        <v>324468.13</v>
      </c>
      <c r="Q4">
        <v>2</v>
      </c>
      <c r="W4">
        <v>0</v>
      </c>
    </row>
    <row r="5" spans="1:23" x14ac:dyDescent="0.25">
      <c r="A5">
        <v>3</v>
      </c>
      <c r="B5">
        <v>285488.15000000002</v>
      </c>
      <c r="C5">
        <v>11791.52</v>
      </c>
      <c r="D5">
        <v>116062.58</v>
      </c>
      <c r="E5">
        <v>15738.8</v>
      </c>
      <c r="F5">
        <v>92790.97</v>
      </c>
      <c r="G5">
        <v>521872.02</v>
      </c>
      <c r="I5">
        <v>3</v>
      </c>
      <c r="J5">
        <v>36495.96</v>
      </c>
      <c r="K5">
        <v>7258.07</v>
      </c>
      <c r="L5">
        <v>100004.71</v>
      </c>
      <c r="M5">
        <v>5270.01</v>
      </c>
      <c r="N5">
        <v>109700.71</v>
      </c>
      <c r="O5">
        <v>258729.46000000002</v>
      </c>
      <c r="Q5">
        <v>3</v>
      </c>
      <c r="W5">
        <v>0</v>
      </c>
    </row>
    <row r="6" spans="1:23" x14ac:dyDescent="0.25">
      <c r="A6">
        <v>4</v>
      </c>
      <c r="B6">
        <v>111725.79</v>
      </c>
      <c r="C6">
        <v>11253.53</v>
      </c>
      <c r="D6">
        <v>115621.38</v>
      </c>
      <c r="E6">
        <v>12666.73</v>
      </c>
      <c r="F6">
        <v>105999.38</v>
      </c>
      <c r="G6">
        <v>357266.81000000006</v>
      </c>
      <c r="I6">
        <v>4</v>
      </c>
      <c r="J6">
        <v>82448.990000000005</v>
      </c>
      <c r="K6">
        <v>7331.63</v>
      </c>
      <c r="L6">
        <v>97367.7</v>
      </c>
      <c r="M6">
        <v>15286.6</v>
      </c>
      <c r="N6">
        <v>144615.95000000001</v>
      </c>
      <c r="O6">
        <v>347050.87</v>
      </c>
      <c r="Q6">
        <v>4</v>
      </c>
      <c r="W6">
        <v>0</v>
      </c>
    </row>
    <row r="7" spans="1:23" x14ac:dyDescent="0.25">
      <c r="A7">
        <v>5</v>
      </c>
      <c r="B7">
        <v>47396.55</v>
      </c>
      <c r="C7">
        <v>11977.66</v>
      </c>
      <c r="D7">
        <v>142347.46</v>
      </c>
      <c r="E7">
        <v>23731.55</v>
      </c>
      <c r="F7">
        <v>120634.15</v>
      </c>
      <c r="G7">
        <v>346087.37</v>
      </c>
      <c r="I7">
        <v>5</v>
      </c>
      <c r="J7">
        <v>97559.57</v>
      </c>
      <c r="K7">
        <v>15367.1</v>
      </c>
      <c r="L7">
        <v>111472.4</v>
      </c>
      <c r="M7">
        <v>8152.84</v>
      </c>
      <c r="N7">
        <v>198538.84</v>
      </c>
      <c r="O7">
        <v>431090.75</v>
      </c>
      <c r="Q7">
        <v>5</v>
      </c>
      <c r="W7">
        <v>0</v>
      </c>
    </row>
    <row r="8" spans="1:23" x14ac:dyDescent="0.25">
      <c r="A8">
        <v>6</v>
      </c>
      <c r="B8">
        <v>507231.42</v>
      </c>
      <c r="C8">
        <v>15971.37</v>
      </c>
      <c r="D8">
        <v>189799.9</v>
      </c>
      <c r="E8">
        <v>18732.75</v>
      </c>
      <c r="F8">
        <v>189022.07</v>
      </c>
      <c r="G8">
        <v>920757.51</v>
      </c>
      <c r="I8">
        <v>6</v>
      </c>
      <c r="J8">
        <v>159308.24</v>
      </c>
      <c r="K8">
        <v>16089.36</v>
      </c>
      <c r="L8">
        <v>127737.33</v>
      </c>
      <c r="M8">
        <v>7657.78</v>
      </c>
      <c r="N8">
        <v>159194.57</v>
      </c>
      <c r="O8">
        <v>469987.28</v>
      </c>
      <c r="Q8">
        <v>6</v>
      </c>
      <c r="W8">
        <v>0</v>
      </c>
    </row>
    <row r="9" spans="1:23" x14ac:dyDescent="0.25">
      <c r="A9">
        <v>7</v>
      </c>
      <c r="B9">
        <v>56268.86</v>
      </c>
      <c r="C9">
        <v>10363.709999999999</v>
      </c>
      <c r="D9">
        <v>161215.51999999999</v>
      </c>
      <c r="E9">
        <v>19084.07</v>
      </c>
      <c r="F9">
        <v>124408.82</v>
      </c>
      <c r="G9">
        <v>371340.98</v>
      </c>
      <c r="I9">
        <v>7</v>
      </c>
      <c r="J9">
        <v>65269.59</v>
      </c>
      <c r="K9">
        <v>14713.82</v>
      </c>
      <c r="L9">
        <v>142702.54</v>
      </c>
      <c r="M9">
        <v>18826.43</v>
      </c>
      <c r="N9">
        <v>131354.10999999999</v>
      </c>
      <c r="O9">
        <v>372866.49</v>
      </c>
      <c r="Q9">
        <v>7</v>
      </c>
      <c r="W9">
        <v>0</v>
      </c>
    </row>
    <row r="10" spans="1:23" x14ac:dyDescent="0.25">
      <c r="A10">
        <v>8</v>
      </c>
      <c r="B10">
        <v>68741.289999999994</v>
      </c>
      <c r="C10">
        <v>14532.32</v>
      </c>
      <c r="D10">
        <v>196700.12</v>
      </c>
      <c r="E10">
        <v>9595.24</v>
      </c>
      <c r="F10">
        <v>203636.9</v>
      </c>
      <c r="G10">
        <v>493205.87</v>
      </c>
      <c r="I10">
        <v>8</v>
      </c>
      <c r="J10">
        <v>196264.64</v>
      </c>
      <c r="K10">
        <v>21089.9</v>
      </c>
      <c r="L10">
        <v>213932.91</v>
      </c>
      <c r="M10">
        <v>17561.650000000001</v>
      </c>
      <c r="N10">
        <v>297193.14</v>
      </c>
      <c r="O10">
        <v>746042.24</v>
      </c>
      <c r="Q10">
        <v>8</v>
      </c>
      <c r="W10">
        <v>0</v>
      </c>
    </row>
    <row r="11" spans="1:23" x14ac:dyDescent="0.25">
      <c r="A11">
        <v>9</v>
      </c>
      <c r="B11">
        <v>85919.31</v>
      </c>
      <c r="C11">
        <v>21558.95</v>
      </c>
      <c r="D11">
        <v>118718.89</v>
      </c>
      <c r="E11">
        <v>11810.94</v>
      </c>
      <c r="F11">
        <v>133600.43</v>
      </c>
      <c r="G11">
        <v>371608.52</v>
      </c>
      <c r="I11">
        <v>9</v>
      </c>
      <c r="J11">
        <v>70751.679999999993</v>
      </c>
      <c r="K11">
        <v>16479.560000000001</v>
      </c>
      <c r="L11">
        <v>128861.73</v>
      </c>
      <c r="M11">
        <v>7469.68</v>
      </c>
      <c r="N11">
        <v>157205.15</v>
      </c>
      <c r="O11">
        <v>380767.79999999993</v>
      </c>
      <c r="Q11">
        <v>9</v>
      </c>
      <c r="W11">
        <v>0</v>
      </c>
    </row>
    <row r="12" spans="1:23" x14ac:dyDescent="0.25">
      <c r="A12">
        <v>10</v>
      </c>
      <c r="B12">
        <v>31209.98</v>
      </c>
      <c r="C12">
        <v>12941.18</v>
      </c>
      <c r="D12">
        <v>146338.54</v>
      </c>
      <c r="E12">
        <v>10928.32</v>
      </c>
      <c r="F12">
        <v>190119.34</v>
      </c>
      <c r="G12">
        <v>391537.36</v>
      </c>
      <c r="I12">
        <v>10</v>
      </c>
      <c r="J12">
        <v>171347.66</v>
      </c>
      <c r="K12">
        <v>16180.06</v>
      </c>
      <c r="L12">
        <v>186632.39</v>
      </c>
      <c r="M12">
        <v>14640.57</v>
      </c>
      <c r="N12">
        <v>169417.45</v>
      </c>
      <c r="O12">
        <v>558218.13</v>
      </c>
      <c r="Q12">
        <v>10</v>
      </c>
      <c r="W12">
        <v>0</v>
      </c>
    </row>
    <row r="13" spans="1:23" x14ac:dyDescent="0.25">
      <c r="A13">
        <v>11</v>
      </c>
      <c r="B13">
        <v>39017.050000000003</v>
      </c>
      <c r="C13">
        <v>10466.620000000001</v>
      </c>
      <c r="D13">
        <v>153563.85999999999</v>
      </c>
      <c r="E13">
        <v>4880.62</v>
      </c>
      <c r="F13">
        <v>197642.52</v>
      </c>
      <c r="G13">
        <v>405570.67</v>
      </c>
      <c r="I13">
        <v>11</v>
      </c>
      <c r="J13">
        <v>89886.2</v>
      </c>
      <c r="K13">
        <v>16854.55</v>
      </c>
      <c r="L13">
        <v>157978</v>
      </c>
      <c r="M13">
        <v>39812.78</v>
      </c>
      <c r="N13">
        <v>155340.98000000001</v>
      </c>
      <c r="O13">
        <v>459872.51</v>
      </c>
      <c r="Q13">
        <v>11</v>
      </c>
      <c r="W13">
        <v>0</v>
      </c>
    </row>
    <row r="14" spans="1:23" x14ac:dyDescent="0.25">
      <c r="A14">
        <v>12</v>
      </c>
      <c r="B14">
        <v>21908.58</v>
      </c>
      <c r="C14">
        <v>12772.1</v>
      </c>
      <c r="D14">
        <v>136623.65</v>
      </c>
      <c r="E14">
        <v>12362.72</v>
      </c>
      <c r="F14">
        <v>135724.04</v>
      </c>
      <c r="G14">
        <v>319391.08999999997</v>
      </c>
      <c r="I14">
        <v>12</v>
      </c>
      <c r="J14">
        <v>210084.14</v>
      </c>
      <c r="K14">
        <v>20822.95</v>
      </c>
      <c r="L14">
        <v>171453.39</v>
      </c>
      <c r="M14">
        <v>13705.53</v>
      </c>
      <c r="N14">
        <v>188697.43</v>
      </c>
      <c r="O14">
        <v>604763.44000000006</v>
      </c>
      <c r="Q14">
        <v>12</v>
      </c>
      <c r="W14">
        <v>0</v>
      </c>
    </row>
    <row r="15" spans="1:23" x14ac:dyDescent="0.25">
      <c r="A15" t="s">
        <v>13</v>
      </c>
      <c r="B15">
        <v>1838669.7300000004</v>
      </c>
      <c r="C15">
        <v>151412.04</v>
      </c>
      <c r="D15">
        <v>1578840.5899999999</v>
      </c>
      <c r="E15">
        <v>148064.84</v>
      </c>
      <c r="F15">
        <v>1610936.2900000003</v>
      </c>
      <c r="G15">
        <v>5327923.49</v>
      </c>
      <c r="I15" t="s">
        <v>13</v>
      </c>
      <c r="J15">
        <v>1287846.3500000001</v>
      </c>
      <c r="K15">
        <v>163817.65</v>
      </c>
      <c r="L15">
        <v>1595359.5900000003</v>
      </c>
      <c r="M15">
        <v>182339.22999999998</v>
      </c>
      <c r="N15">
        <v>1960988.7399999998</v>
      </c>
      <c r="O15">
        <v>5190351.5600000005</v>
      </c>
      <c r="Q15" t="s">
        <v>13</v>
      </c>
      <c r="R15">
        <v>170855.3</v>
      </c>
      <c r="S15">
        <v>4231.32</v>
      </c>
      <c r="T15">
        <v>52048.91</v>
      </c>
      <c r="U15">
        <v>1834.71</v>
      </c>
      <c r="V15">
        <v>62606.22</v>
      </c>
      <c r="W15">
        <v>291576.45999999996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82342-EC36-4E36-BE76-43914ADD8859}">
  <sheetPr codeName="Sheet46"/>
  <dimension ref="A1:W15"/>
  <sheetViews>
    <sheetView workbookViewId="0"/>
  </sheetViews>
  <sheetFormatPr defaultRowHeight="15" x14ac:dyDescent="0.25"/>
  <sheetData>
    <row r="1" spans="1:23" x14ac:dyDescent="0.25">
      <c r="A1">
        <v>2017</v>
      </c>
      <c r="B1" t="s">
        <v>1001</v>
      </c>
      <c r="I1">
        <v>2018</v>
      </c>
      <c r="J1" t="s">
        <v>1001</v>
      </c>
      <c r="Q1">
        <v>2019</v>
      </c>
      <c r="R1" t="s">
        <v>1001</v>
      </c>
    </row>
    <row r="2" spans="1:23" x14ac:dyDescent="0.25">
      <c r="A2" t="s">
        <v>0</v>
      </c>
      <c r="B2" t="s">
        <v>960</v>
      </c>
      <c r="C2" t="s">
        <v>961</v>
      </c>
      <c r="D2" t="s">
        <v>962</v>
      </c>
      <c r="E2" t="s">
        <v>1002</v>
      </c>
      <c r="F2" t="s">
        <v>964</v>
      </c>
      <c r="G2" t="s">
        <v>13</v>
      </c>
      <c r="I2" t="s">
        <v>0</v>
      </c>
      <c r="J2" t="s">
        <v>960</v>
      </c>
      <c r="K2" t="s">
        <v>961</v>
      </c>
      <c r="L2" t="s">
        <v>962</v>
      </c>
      <c r="M2" t="s">
        <v>1002</v>
      </c>
      <c r="N2" t="s">
        <v>964</v>
      </c>
      <c r="O2" t="s">
        <v>13</v>
      </c>
      <c r="Q2" t="s">
        <v>0</v>
      </c>
      <c r="R2" t="s">
        <v>960</v>
      </c>
      <c r="S2" t="s">
        <v>961</v>
      </c>
      <c r="T2" t="s">
        <v>962</v>
      </c>
      <c r="U2" t="s">
        <v>1002</v>
      </c>
      <c r="V2" t="s">
        <v>964</v>
      </c>
      <c r="W2" t="s">
        <v>13</v>
      </c>
    </row>
    <row r="3" spans="1:23" x14ac:dyDescent="0.25">
      <c r="A3">
        <v>1</v>
      </c>
      <c r="B3">
        <v>1</v>
      </c>
      <c r="C3">
        <v>23</v>
      </c>
      <c r="D3">
        <v>94</v>
      </c>
      <c r="E3">
        <v>5</v>
      </c>
      <c r="F3">
        <v>34</v>
      </c>
      <c r="G3">
        <v>157</v>
      </c>
      <c r="I3">
        <v>1</v>
      </c>
      <c r="J3">
        <v>1</v>
      </c>
      <c r="K3">
        <v>217</v>
      </c>
      <c r="L3">
        <v>1122</v>
      </c>
      <c r="M3">
        <v>34</v>
      </c>
      <c r="N3">
        <v>282</v>
      </c>
      <c r="O3">
        <v>1656</v>
      </c>
      <c r="Q3">
        <v>1</v>
      </c>
      <c r="R3">
        <v>6</v>
      </c>
      <c r="S3">
        <v>175</v>
      </c>
      <c r="T3">
        <v>924</v>
      </c>
      <c r="U3">
        <v>30</v>
      </c>
      <c r="V3">
        <v>234</v>
      </c>
      <c r="W3">
        <v>1369</v>
      </c>
    </row>
    <row r="4" spans="1:23" x14ac:dyDescent="0.25">
      <c r="A4">
        <v>2</v>
      </c>
      <c r="B4">
        <v>9</v>
      </c>
      <c r="C4">
        <v>227</v>
      </c>
      <c r="D4">
        <v>955</v>
      </c>
      <c r="E4">
        <v>37</v>
      </c>
      <c r="F4">
        <v>286</v>
      </c>
      <c r="G4">
        <v>1514</v>
      </c>
      <c r="I4">
        <v>2</v>
      </c>
      <c r="J4">
        <v>2</v>
      </c>
      <c r="K4">
        <v>189</v>
      </c>
      <c r="L4">
        <v>914</v>
      </c>
      <c r="M4">
        <v>35</v>
      </c>
      <c r="N4">
        <v>234</v>
      </c>
      <c r="O4">
        <v>1374</v>
      </c>
      <c r="Q4">
        <v>2</v>
      </c>
      <c r="W4">
        <v>0</v>
      </c>
    </row>
    <row r="5" spans="1:23" x14ac:dyDescent="0.25">
      <c r="A5">
        <v>3</v>
      </c>
      <c r="B5">
        <v>11</v>
      </c>
      <c r="C5">
        <v>220</v>
      </c>
      <c r="D5">
        <v>1061</v>
      </c>
      <c r="E5">
        <v>39</v>
      </c>
      <c r="F5">
        <v>193</v>
      </c>
      <c r="G5">
        <v>1524</v>
      </c>
      <c r="I5">
        <v>3</v>
      </c>
      <c r="J5">
        <v>4</v>
      </c>
      <c r="K5">
        <v>233</v>
      </c>
      <c r="L5">
        <v>998</v>
      </c>
      <c r="M5">
        <v>34</v>
      </c>
      <c r="N5">
        <v>239</v>
      </c>
      <c r="O5">
        <v>1508</v>
      </c>
      <c r="Q5">
        <v>3</v>
      </c>
      <c r="W5">
        <v>0</v>
      </c>
    </row>
    <row r="6" spans="1:23" x14ac:dyDescent="0.25">
      <c r="A6">
        <v>4</v>
      </c>
      <c r="B6">
        <v>8</v>
      </c>
      <c r="C6">
        <v>177</v>
      </c>
      <c r="D6">
        <v>890</v>
      </c>
      <c r="E6">
        <v>40</v>
      </c>
      <c r="F6">
        <v>198</v>
      </c>
      <c r="G6">
        <v>1313</v>
      </c>
      <c r="I6">
        <v>4</v>
      </c>
      <c r="J6">
        <v>11</v>
      </c>
      <c r="K6">
        <v>171</v>
      </c>
      <c r="L6">
        <v>884</v>
      </c>
      <c r="M6">
        <v>42</v>
      </c>
      <c r="N6">
        <v>234</v>
      </c>
      <c r="O6">
        <v>1342</v>
      </c>
      <c r="Q6">
        <v>4</v>
      </c>
      <c r="W6">
        <v>0</v>
      </c>
    </row>
    <row r="7" spans="1:23" x14ac:dyDescent="0.25">
      <c r="A7">
        <v>5</v>
      </c>
      <c r="B7">
        <v>10</v>
      </c>
      <c r="C7">
        <v>177</v>
      </c>
      <c r="D7">
        <v>989</v>
      </c>
      <c r="E7">
        <v>63</v>
      </c>
      <c r="F7">
        <v>244</v>
      </c>
      <c r="G7">
        <v>1483</v>
      </c>
      <c r="I7">
        <v>5</v>
      </c>
      <c r="J7">
        <v>3</v>
      </c>
      <c r="K7">
        <v>210</v>
      </c>
      <c r="L7">
        <v>981</v>
      </c>
      <c r="M7">
        <v>37</v>
      </c>
      <c r="N7">
        <v>325</v>
      </c>
      <c r="O7">
        <v>1556</v>
      </c>
      <c r="Q7">
        <v>5</v>
      </c>
      <c r="W7">
        <v>0</v>
      </c>
    </row>
    <row r="8" spans="1:23" x14ac:dyDescent="0.25">
      <c r="A8">
        <v>6</v>
      </c>
      <c r="B8">
        <v>17</v>
      </c>
      <c r="C8">
        <v>219</v>
      </c>
      <c r="D8">
        <v>1069</v>
      </c>
      <c r="E8">
        <v>44</v>
      </c>
      <c r="F8">
        <v>269</v>
      </c>
      <c r="G8">
        <v>1618</v>
      </c>
      <c r="I8">
        <v>6</v>
      </c>
      <c r="J8">
        <v>13</v>
      </c>
      <c r="K8">
        <v>208</v>
      </c>
      <c r="L8">
        <v>986</v>
      </c>
      <c r="M8">
        <v>36</v>
      </c>
      <c r="N8">
        <v>302</v>
      </c>
      <c r="O8">
        <v>1545</v>
      </c>
      <c r="Q8">
        <v>6</v>
      </c>
      <c r="W8">
        <v>0</v>
      </c>
    </row>
    <row r="9" spans="1:23" x14ac:dyDescent="0.25">
      <c r="A9">
        <v>7</v>
      </c>
      <c r="B9">
        <v>3</v>
      </c>
      <c r="C9">
        <v>156</v>
      </c>
      <c r="D9">
        <v>982</v>
      </c>
      <c r="E9">
        <v>42</v>
      </c>
      <c r="F9">
        <v>233</v>
      </c>
      <c r="G9">
        <v>1416</v>
      </c>
      <c r="I9">
        <v>7</v>
      </c>
      <c r="J9">
        <v>7</v>
      </c>
      <c r="K9">
        <v>225</v>
      </c>
      <c r="L9">
        <v>991</v>
      </c>
      <c r="M9">
        <v>51</v>
      </c>
      <c r="N9">
        <v>321</v>
      </c>
      <c r="O9">
        <v>1595</v>
      </c>
      <c r="Q9">
        <v>7</v>
      </c>
      <c r="W9">
        <v>0</v>
      </c>
    </row>
    <row r="10" spans="1:23" x14ac:dyDescent="0.25">
      <c r="A10">
        <v>8</v>
      </c>
      <c r="B10">
        <v>10</v>
      </c>
      <c r="C10">
        <v>246</v>
      </c>
      <c r="D10">
        <v>1196</v>
      </c>
      <c r="E10">
        <v>34</v>
      </c>
      <c r="F10">
        <v>342</v>
      </c>
      <c r="G10">
        <v>1828</v>
      </c>
      <c r="I10">
        <v>8</v>
      </c>
      <c r="J10">
        <v>20</v>
      </c>
      <c r="K10">
        <v>267</v>
      </c>
      <c r="L10">
        <v>1252</v>
      </c>
      <c r="M10">
        <v>52</v>
      </c>
      <c r="N10">
        <v>361</v>
      </c>
      <c r="O10">
        <v>1952</v>
      </c>
      <c r="Q10">
        <v>8</v>
      </c>
      <c r="W10">
        <v>0</v>
      </c>
    </row>
    <row r="11" spans="1:23" x14ac:dyDescent="0.25">
      <c r="A11">
        <v>9</v>
      </c>
      <c r="B11">
        <v>15</v>
      </c>
      <c r="C11">
        <v>210</v>
      </c>
      <c r="D11">
        <v>929</v>
      </c>
      <c r="E11">
        <v>36</v>
      </c>
      <c r="F11">
        <v>238</v>
      </c>
      <c r="G11">
        <v>1428</v>
      </c>
      <c r="I11">
        <v>9</v>
      </c>
      <c r="J11">
        <v>10</v>
      </c>
      <c r="K11">
        <v>167</v>
      </c>
      <c r="L11">
        <v>886</v>
      </c>
      <c r="M11">
        <v>28</v>
      </c>
      <c r="N11">
        <v>216</v>
      </c>
      <c r="O11">
        <v>1307</v>
      </c>
      <c r="Q11">
        <v>9</v>
      </c>
      <c r="W11">
        <v>0</v>
      </c>
    </row>
    <row r="12" spans="1:23" x14ac:dyDescent="0.25">
      <c r="A12">
        <v>10</v>
      </c>
      <c r="B12">
        <v>2</v>
      </c>
      <c r="C12">
        <v>180</v>
      </c>
      <c r="D12">
        <v>1186</v>
      </c>
      <c r="E12">
        <v>44</v>
      </c>
      <c r="F12">
        <v>242</v>
      </c>
      <c r="G12">
        <v>1654</v>
      </c>
      <c r="I12">
        <v>10</v>
      </c>
      <c r="J12">
        <v>18</v>
      </c>
      <c r="K12">
        <v>193</v>
      </c>
      <c r="L12">
        <v>1264</v>
      </c>
      <c r="M12">
        <v>45</v>
      </c>
      <c r="N12">
        <v>311</v>
      </c>
      <c r="O12">
        <v>1831</v>
      </c>
      <c r="Q12">
        <v>10</v>
      </c>
      <c r="W12">
        <v>0</v>
      </c>
    </row>
    <row r="13" spans="1:23" x14ac:dyDescent="0.25">
      <c r="A13">
        <v>11</v>
      </c>
      <c r="B13">
        <v>4</v>
      </c>
      <c r="C13">
        <v>199</v>
      </c>
      <c r="D13">
        <v>1022</v>
      </c>
      <c r="E13">
        <v>30</v>
      </c>
      <c r="F13">
        <v>251</v>
      </c>
      <c r="G13">
        <v>1506</v>
      </c>
      <c r="I13">
        <v>11</v>
      </c>
      <c r="J13">
        <v>8</v>
      </c>
      <c r="K13">
        <v>218</v>
      </c>
      <c r="L13">
        <v>1069</v>
      </c>
      <c r="M13">
        <v>51</v>
      </c>
      <c r="N13">
        <v>315</v>
      </c>
      <c r="O13">
        <v>1661</v>
      </c>
      <c r="Q13">
        <v>11</v>
      </c>
      <c r="W13">
        <v>0</v>
      </c>
    </row>
    <row r="14" spans="1:23" x14ac:dyDescent="0.25">
      <c r="A14">
        <v>12</v>
      </c>
      <c r="B14">
        <v>3</v>
      </c>
      <c r="C14">
        <v>220</v>
      </c>
      <c r="D14">
        <v>962</v>
      </c>
      <c r="E14">
        <v>33</v>
      </c>
      <c r="F14">
        <v>288</v>
      </c>
      <c r="G14">
        <v>1506</v>
      </c>
      <c r="I14">
        <v>12</v>
      </c>
      <c r="J14">
        <v>15</v>
      </c>
      <c r="K14">
        <v>242</v>
      </c>
      <c r="L14">
        <v>1091</v>
      </c>
      <c r="M14">
        <v>46</v>
      </c>
      <c r="N14">
        <v>366</v>
      </c>
      <c r="O14">
        <v>1760</v>
      </c>
      <c r="Q14">
        <v>12</v>
      </c>
      <c r="W14">
        <v>0</v>
      </c>
    </row>
    <row r="15" spans="1:23" x14ac:dyDescent="0.25">
      <c r="A15" t="s">
        <v>13</v>
      </c>
      <c r="B15">
        <v>93</v>
      </c>
      <c r="C15">
        <v>2254</v>
      </c>
      <c r="D15">
        <v>11335</v>
      </c>
      <c r="E15">
        <v>447</v>
      </c>
      <c r="F15">
        <v>2818</v>
      </c>
      <c r="G15">
        <v>16947</v>
      </c>
      <c r="I15" t="s">
        <v>13</v>
      </c>
      <c r="J15">
        <v>112</v>
      </c>
      <c r="K15">
        <v>2540</v>
      </c>
      <c r="L15">
        <v>12438</v>
      </c>
      <c r="M15">
        <v>491</v>
      </c>
      <c r="N15">
        <v>3506</v>
      </c>
      <c r="O15">
        <v>19087</v>
      </c>
      <c r="Q15" t="s">
        <v>13</v>
      </c>
      <c r="R15">
        <v>6</v>
      </c>
      <c r="S15">
        <v>175</v>
      </c>
      <c r="T15">
        <v>924</v>
      </c>
      <c r="U15">
        <v>30</v>
      </c>
      <c r="V15">
        <v>234</v>
      </c>
      <c r="W15">
        <v>1369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DE29B-87EC-404D-A7F0-76E1CDDCAC33}">
  <sheetPr codeName="Sheet47"/>
  <dimension ref="A1:W15"/>
  <sheetViews>
    <sheetView workbookViewId="0"/>
  </sheetViews>
  <sheetFormatPr defaultRowHeight="15" x14ac:dyDescent="0.25"/>
  <sheetData>
    <row r="1" spans="1:23" x14ac:dyDescent="0.25">
      <c r="A1">
        <v>2017</v>
      </c>
      <c r="B1" t="s">
        <v>1001</v>
      </c>
      <c r="I1">
        <v>2018</v>
      </c>
      <c r="J1" t="s">
        <v>1001</v>
      </c>
      <c r="Q1">
        <v>2019</v>
      </c>
      <c r="R1" t="s">
        <v>1001</v>
      </c>
    </row>
    <row r="2" spans="1:23" x14ac:dyDescent="0.25">
      <c r="A2" t="s">
        <v>0</v>
      </c>
      <c r="B2" t="s">
        <v>960</v>
      </c>
      <c r="C2" t="s">
        <v>961</v>
      </c>
      <c r="D2" t="s">
        <v>962</v>
      </c>
      <c r="E2" t="s">
        <v>1002</v>
      </c>
      <c r="F2" t="s">
        <v>964</v>
      </c>
      <c r="G2" t="s">
        <v>13</v>
      </c>
      <c r="I2" t="s">
        <v>0</v>
      </c>
      <c r="J2" t="s">
        <v>960</v>
      </c>
      <c r="K2" t="s">
        <v>961</v>
      </c>
      <c r="L2" t="s">
        <v>962</v>
      </c>
      <c r="M2" t="s">
        <v>1002</v>
      </c>
      <c r="N2" t="s">
        <v>964</v>
      </c>
      <c r="O2" t="s">
        <v>13</v>
      </c>
      <c r="Q2" t="s">
        <v>0</v>
      </c>
      <c r="R2" t="s">
        <v>960</v>
      </c>
      <c r="S2" t="s">
        <v>961</v>
      </c>
      <c r="T2" t="s">
        <v>962</v>
      </c>
      <c r="U2" t="s">
        <v>1002</v>
      </c>
      <c r="V2" t="s">
        <v>964</v>
      </c>
      <c r="W2" t="s">
        <v>13</v>
      </c>
    </row>
    <row r="3" spans="1:23" x14ac:dyDescent="0.25">
      <c r="A3">
        <v>1</v>
      </c>
      <c r="B3">
        <v>25.434888888888892</v>
      </c>
      <c r="C3">
        <v>1.1685777777777777</v>
      </c>
      <c r="D3">
        <v>25.102288888888889</v>
      </c>
      <c r="E3">
        <v>2.5489777777777776</v>
      </c>
      <c r="F3">
        <v>6.6302888888888889</v>
      </c>
      <c r="G3">
        <v>60.885022222222233</v>
      </c>
      <c r="I3">
        <v>1</v>
      </c>
      <c r="J3">
        <v>32.123111111111108</v>
      </c>
      <c r="K3">
        <v>12.895088888888889</v>
      </c>
      <c r="L3">
        <v>177.8615111111111</v>
      </c>
      <c r="M3">
        <v>39.747288888888889</v>
      </c>
      <c r="N3">
        <v>262.91624444444443</v>
      </c>
      <c r="O3">
        <v>525.54324444444444</v>
      </c>
      <c r="Q3">
        <v>1</v>
      </c>
      <c r="R3">
        <v>379.67844444444444</v>
      </c>
      <c r="S3">
        <v>9.4029333333333334</v>
      </c>
      <c r="T3">
        <v>115.66424444444445</v>
      </c>
      <c r="U3">
        <v>4.0771333333333333</v>
      </c>
      <c r="V3">
        <v>139.12493333333333</v>
      </c>
      <c r="W3">
        <v>647.94768888888882</v>
      </c>
    </row>
    <row r="4" spans="1:23" x14ac:dyDescent="0.25">
      <c r="A4">
        <v>2</v>
      </c>
      <c r="B4">
        <v>1271.8156666666669</v>
      </c>
      <c r="C4">
        <v>38.349377777777782</v>
      </c>
      <c r="D4">
        <v>201.22813333333335</v>
      </c>
      <c r="E4">
        <v>16.413466666666668</v>
      </c>
      <c r="F4">
        <v>254.16453333333331</v>
      </c>
      <c r="G4">
        <v>1781.9711777777782</v>
      </c>
      <c r="I4">
        <v>2</v>
      </c>
      <c r="J4">
        <v>208.83173333333332</v>
      </c>
      <c r="K4">
        <v>12.950799999999999</v>
      </c>
      <c r="L4">
        <v>171.50846666666666</v>
      </c>
      <c r="M4">
        <v>35.709066666666665</v>
      </c>
      <c r="N4">
        <v>292.04022222222221</v>
      </c>
      <c r="O4">
        <v>721.04028888888888</v>
      </c>
      <c r="Q4">
        <v>2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25">
      <c r="A5">
        <v>3</v>
      </c>
      <c r="B5">
        <v>634.41811111111122</v>
      </c>
      <c r="C5">
        <v>26.203377777777778</v>
      </c>
      <c r="D5">
        <v>257.91684444444445</v>
      </c>
      <c r="E5">
        <v>34.975111111111111</v>
      </c>
      <c r="F5">
        <v>206.20215555555555</v>
      </c>
      <c r="G5">
        <v>1159.7156</v>
      </c>
      <c r="I5">
        <v>3</v>
      </c>
      <c r="J5">
        <v>81.102133333333327</v>
      </c>
      <c r="K5">
        <v>16.129044444444443</v>
      </c>
      <c r="L5">
        <v>222.2326888888889</v>
      </c>
      <c r="M5">
        <v>11.711133333333335</v>
      </c>
      <c r="N5">
        <v>243.77935555555558</v>
      </c>
      <c r="O5">
        <v>574.95435555555559</v>
      </c>
      <c r="Q5">
        <v>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25">
      <c r="A6">
        <v>4</v>
      </c>
      <c r="B6">
        <v>248.27953333333332</v>
      </c>
      <c r="C6">
        <v>25.007844444444444</v>
      </c>
      <c r="D6">
        <v>256.93639999999999</v>
      </c>
      <c r="E6">
        <v>28.148288888888889</v>
      </c>
      <c r="F6">
        <v>235.5541777777778</v>
      </c>
      <c r="G6">
        <v>793.92624444444459</v>
      </c>
      <c r="I6">
        <v>4</v>
      </c>
      <c r="J6">
        <v>183.21997777777779</v>
      </c>
      <c r="K6">
        <v>16.292511111111111</v>
      </c>
      <c r="L6">
        <v>216.37266666666665</v>
      </c>
      <c r="M6">
        <v>33.970222222222226</v>
      </c>
      <c r="N6">
        <v>321.36877777777778</v>
      </c>
      <c r="O6">
        <v>771.22415555555551</v>
      </c>
      <c r="Q6">
        <v>4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5">
      <c r="A7">
        <v>5</v>
      </c>
      <c r="B7">
        <v>105.32566666666668</v>
      </c>
      <c r="C7">
        <v>26.617022222222221</v>
      </c>
      <c r="D7">
        <v>316.32768888888887</v>
      </c>
      <c r="E7">
        <v>52.736777777777775</v>
      </c>
      <c r="F7">
        <v>268.07588888888887</v>
      </c>
      <c r="G7">
        <v>769.08304444444445</v>
      </c>
      <c r="I7">
        <v>5</v>
      </c>
      <c r="J7">
        <v>216.79904444444446</v>
      </c>
      <c r="K7">
        <v>34.149111111111111</v>
      </c>
      <c r="L7">
        <v>247.71644444444442</v>
      </c>
      <c r="M7">
        <v>18.117422222222224</v>
      </c>
      <c r="N7">
        <v>441.1974222222222</v>
      </c>
      <c r="O7">
        <v>957.97944444444443</v>
      </c>
      <c r="Q7">
        <v>5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5">
      <c r="A8">
        <v>6</v>
      </c>
      <c r="B8">
        <v>1127.1809333333333</v>
      </c>
      <c r="C8">
        <v>35.491933333333336</v>
      </c>
      <c r="D8">
        <v>421.77755555555552</v>
      </c>
      <c r="E8">
        <v>41.62833333333333</v>
      </c>
      <c r="F8">
        <v>420.04904444444446</v>
      </c>
      <c r="G8">
        <v>2046.1278</v>
      </c>
      <c r="I8">
        <v>6</v>
      </c>
      <c r="J8">
        <v>354.01831111111107</v>
      </c>
      <c r="K8">
        <v>35.754133333333336</v>
      </c>
      <c r="L8">
        <v>283.86073333333331</v>
      </c>
      <c r="M8">
        <v>17.017288888888888</v>
      </c>
      <c r="N8">
        <v>353.7657111111111</v>
      </c>
      <c r="O8">
        <v>1044.4161777777779</v>
      </c>
      <c r="Q8">
        <v>6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5">
      <c r="A9">
        <v>7</v>
      </c>
      <c r="B9">
        <v>125.04191111111112</v>
      </c>
      <c r="C9">
        <v>23.030466666666666</v>
      </c>
      <c r="D9">
        <v>358.25671111111109</v>
      </c>
      <c r="E9">
        <v>42.409044444444447</v>
      </c>
      <c r="F9">
        <v>276.46404444444448</v>
      </c>
      <c r="G9">
        <v>825.20217777777771</v>
      </c>
      <c r="I9">
        <v>7</v>
      </c>
      <c r="J9">
        <v>145.04353333333333</v>
      </c>
      <c r="K9">
        <v>32.697377777777774</v>
      </c>
      <c r="L9">
        <v>317.11675555555559</v>
      </c>
      <c r="M9">
        <v>41.836511111111115</v>
      </c>
      <c r="N9">
        <v>291.89802222222221</v>
      </c>
      <c r="O9">
        <v>828.59219999999993</v>
      </c>
      <c r="Q9">
        <v>7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5">
      <c r="A10">
        <v>8</v>
      </c>
      <c r="B10">
        <v>152.75842222222221</v>
      </c>
      <c r="C10">
        <v>32.294044444444445</v>
      </c>
      <c r="D10">
        <v>437.11137777777776</v>
      </c>
      <c r="E10">
        <v>21.322755555555556</v>
      </c>
      <c r="F10">
        <v>452.52644444444445</v>
      </c>
      <c r="G10">
        <v>1096.0130444444444</v>
      </c>
      <c r="I10">
        <v>8</v>
      </c>
      <c r="J10">
        <v>436.14364444444448</v>
      </c>
      <c r="K10">
        <v>46.866444444444447</v>
      </c>
      <c r="L10">
        <v>475.40646666666669</v>
      </c>
      <c r="M10">
        <v>39.025888888888893</v>
      </c>
      <c r="N10">
        <v>660.42920000000004</v>
      </c>
      <c r="O10">
        <v>1657.8716444444444</v>
      </c>
      <c r="Q10">
        <v>8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5">
      <c r="A11">
        <v>9</v>
      </c>
      <c r="B11">
        <v>190.93179999999998</v>
      </c>
      <c r="C11">
        <v>47.908777777777779</v>
      </c>
      <c r="D11">
        <v>263.81975555555556</v>
      </c>
      <c r="E11">
        <v>26.246533333333335</v>
      </c>
      <c r="F11">
        <v>296.88984444444441</v>
      </c>
      <c r="G11">
        <v>825.79671111111111</v>
      </c>
      <c r="I11">
        <v>9</v>
      </c>
      <c r="J11">
        <v>157.22595555555554</v>
      </c>
      <c r="K11">
        <v>36.62124444444445</v>
      </c>
      <c r="L11">
        <v>286.35939999999999</v>
      </c>
      <c r="M11">
        <v>16.599288888888889</v>
      </c>
      <c r="N11">
        <v>349.34477777777778</v>
      </c>
      <c r="O11">
        <v>846.15066666666655</v>
      </c>
      <c r="Q11">
        <v>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>
        <v>10</v>
      </c>
      <c r="B12">
        <v>69.355511111111113</v>
      </c>
      <c r="C12">
        <v>28.758177777777778</v>
      </c>
      <c r="D12">
        <v>325.19675555555557</v>
      </c>
      <c r="E12">
        <v>24.285155555555555</v>
      </c>
      <c r="F12">
        <v>422.48742222222222</v>
      </c>
      <c r="G12">
        <v>870.08302222222221</v>
      </c>
      <c r="I12">
        <v>10</v>
      </c>
      <c r="J12">
        <v>380.77257777777777</v>
      </c>
      <c r="K12">
        <v>35.955688888888886</v>
      </c>
      <c r="L12">
        <v>414.7386444444445</v>
      </c>
      <c r="M12">
        <v>32.534599999999998</v>
      </c>
      <c r="N12">
        <v>376.48322222222225</v>
      </c>
      <c r="O12">
        <v>1240.4847333333335</v>
      </c>
      <c r="Q12">
        <v>10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5">
      <c r="A13">
        <v>11</v>
      </c>
      <c r="B13">
        <v>86.704555555555558</v>
      </c>
      <c r="C13">
        <v>23.259155555555559</v>
      </c>
      <c r="D13">
        <v>341.25302222222217</v>
      </c>
      <c r="E13">
        <v>10.845822222222221</v>
      </c>
      <c r="F13">
        <v>439.2056</v>
      </c>
      <c r="G13">
        <v>901.2681555555555</v>
      </c>
      <c r="I13">
        <v>11</v>
      </c>
      <c r="J13">
        <v>199.74711111111111</v>
      </c>
      <c r="K13">
        <v>37.454555555555551</v>
      </c>
      <c r="L13">
        <v>351.0622222222222</v>
      </c>
      <c r="M13">
        <v>88.472844444444448</v>
      </c>
      <c r="N13">
        <v>345.20217777777782</v>
      </c>
      <c r="O13">
        <v>1021.9389111111111</v>
      </c>
      <c r="Q13">
        <v>11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5">
      <c r="A14">
        <v>12</v>
      </c>
      <c r="B14">
        <v>48.685733333333339</v>
      </c>
      <c r="C14">
        <v>28.382444444444445</v>
      </c>
      <c r="D14">
        <v>303.6081111111111</v>
      </c>
      <c r="E14">
        <v>27.47271111111111</v>
      </c>
      <c r="F14">
        <v>301.6089777777778</v>
      </c>
      <c r="G14">
        <v>709.75797777777768</v>
      </c>
      <c r="I14">
        <v>12</v>
      </c>
      <c r="J14">
        <v>466.85364444444446</v>
      </c>
      <c r="K14">
        <v>46.273222222222223</v>
      </c>
      <c r="L14">
        <v>381.00753333333336</v>
      </c>
      <c r="M14">
        <v>30.456733333333336</v>
      </c>
      <c r="N14">
        <v>419.3276222222222</v>
      </c>
      <c r="O14">
        <v>1343.9187555555557</v>
      </c>
      <c r="Q14">
        <v>12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25">
      <c r="A15" t="s">
        <v>13</v>
      </c>
      <c r="B15">
        <v>4085.9327333333345</v>
      </c>
      <c r="C15">
        <v>336.47120000000001</v>
      </c>
      <c r="D15">
        <v>3508.534644444444</v>
      </c>
      <c r="E15">
        <v>329.03297777777777</v>
      </c>
      <c r="F15">
        <v>3579.858422222223</v>
      </c>
      <c r="G15">
        <v>11839.829977777777</v>
      </c>
      <c r="I15" t="s">
        <v>13</v>
      </c>
      <c r="J15">
        <v>2861.8807777777779</v>
      </c>
      <c r="K15">
        <v>364.03922222222224</v>
      </c>
      <c r="L15">
        <v>3545.2435333333342</v>
      </c>
      <c r="M15">
        <v>405.19828888888884</v>
      </c>
      <c r="N15">
        <v>4357.7527555555553</v>
      </c>
      <c r="O15">
        <v>11534.114577777778</v>
      </c>
      <c r="Q15" t="s">
        <v>13</v>
      </c>
      <c r="R15">
        <v>379.67844444444444</v>
      </c>
      <c r="S15">
        <v>9.4029333333333334</v>
      </c>
      <c r="T15">
        <v>115.66424444444445</v>
      </c>
      <c r="U15">
        <v>4.0771333333333333</v>
      </c>
      <c r="V15">
        <v>139.12493333333333</v>
      </c>
      <c r="W15">
        <v>647.94768888888882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CBFD0-9017-4196-B892-5AA60CF5A2F8}">
  <sheetPr codeName="Sheet48"/>
  <dimension ref="A1:W15"/>
  <sheetViews>
    <sheetView workbookViewId="0"/>
  </sheetViews>
  <sheetFormatPr defaultRowHeight="15" x14ac:dyDescent="0.25"/>
  <sheetData>
    <row r="1" spans="1:23" x14ac:dyDescent="0.25">
      <c r="A1">
        <v>2017</v>
      </c>
      <c r="B1" t="s">
        <v>1001</v>
      </c>
      <c r="I1">
        <v>2018</v>
      </c>
      <c r="J1" t="s">
        <v>1001</v>
      </c>
      <c r="Q1">
        <v>2019</v>
      </c>
      <c r="R1" t="s">
        <v>1001</v>
      </c>
    </row>
    <row r="2" spans="1:23" x14ac:dyDescent="0.25">
      <c r="A2" t="s">
        <v>0</v>
      </c>
      <c r="B2" t="s">
        <v>960</v>
      </c>
      <c r="C2" t="s">
        <v>961</v>
      </c>
      <c r="D2" t="s">
        <v>962</v>
      </c>
      <c r="E2" t="s">
        <v>1002</v>
      </c>
      <c r="F2" t="s">
        <v>964</v>
      </c>
      <c r="G2" t="s">
        <v>13</v>
      </c>
      <c r="I2" t="s">
        <v>0</v>
      </c>
      <c r="J2" t="s">
        <v>960</v>
      </c>
      <c r="K2" t="s">
        <v>961</v>
      </c>
      <c r="L2" t="s">
        <v>962</v>
      </c>
      <c r="M2" t="s">
        <v>1002</v>
      </c>
      <c r="N2" t="s">
        <v>964</v>
      </c>
      <c r="O2" t="s">
        <v>13</v>
      </c>
      <c r="Q2" t="s">
        <v>0</v>
      </c>
      <c r="R2" t="s">
        <v>960</v>
      </c>
      <c r="S2" t="s">
        <v>961</v>
      </c>
      <c r="T2" t="s">
        <v>962</v>
      </c>
      <c r="U2" t="s">
        <v>1002</v>
      </c>
      <c r="V2" t="s">
        <v>964</v>
      </c>
      <c r="W2" t="s">
        <v>13</v>
      </c>
    </row>
    <row r="3" spans="1:23" x14ac:dyDescent="0.25">
      <c r="A3">
        <v>1</v>
      </c>
      <c r="B3">
        <v>8.9629600626468289</v>
      </c>
      <c r="C3">
        <v>0.41179326546593581</v>
      </c>
      <c r="D3">
        <v>8.8457556773688335</v>
      </c>
      <c r="E3">
        <v>0.89823022709475331</v>
      </c>
      <c r="F3">
        <v>2.3364369616288174</v>
      </c>
      <c r="G3">
        <v>21.455176194205173</v>
      </c>
      <c r="I3">
        <v>1</v>
      </c>
      <c r="J3">
        <v>11.319812059514486</v>
      </c>
      <c r="K3">
        <v>4.5440798747063429</v>
      </c>
      <c r="L3">
        <v>62.676335160532496</v>
      </c>
      <c r="M3">
        <v>14.006483946750194</v>
      </c>
      <c r="N3">
        <v>92.648637431480026</v>
      </c>
      <c r="O3">
        <v>185.19534847298354</v>
      </c>
      <c r="Q3">
        <v>1</v>
      </c>
      <c r="R3">
        <v>133.79428347689898</v>
      </c>
      <c r="S3">
        <v>3.3134847298355519</v>
      </c>
      <c r="T3">
        <v>40.758739232576353</v>
      </c>
      <c r="U3">
        <v>1.436734534064213</v>
      </c>
      <c r="V3">
        <v>49.026014095536418</v>
      </c>
      <c r="W3">
        <v>228.32925606891149</v>
      </c>
    </row>
    <row r="4" spans="1:23" x14ac:dyDescent="0.25">
      <c r="A4">
        <v>2</v>
      </c>
      <c r="B4">
        <v>448.17310101801098</v>
      </c>
      <c r="C4">
        <v>13.513876272513706</v>
      </c>
      <c r="D4">
        <v>70.910462020360228</v>
      </c>
      <c r="E4">
        <v>5.7839154267815198</v>
      </c>
      <c r="F4">
        <v>89.564635865309313</v>
      </c>
      <c r="G4">
        <v>627.94599060297583</v>
      </c>
      <c r="I4">
        <v>2</v>
      </c>
      <c r="J4">
        <v>73.589882537196559</v>
      </c>
      <c r="K4">
        <v>4.5637118245888804</v>
      </c>
      <c r="L4">
        <v>60.437595927956146</v>
      </c>
      <c r="M4">
        <v>12.583461237274863</v>
      </c>
      <c r="N4">
        <v>102.9115896632733</v>
      </c>
      <c r="O4">
        <v>254.08624119028974</v>
      </c>
      <c r="Q4">
        <v>2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25">
      <c r="A5">
        <v>3</v>
      </c>
      <c r="B5">
        <v>223.56158966327331</v>
      </c>
      <c r="C5">
        <v>9.2337666405638217</v>
      </c>
      <c r="D5">
        <v>90.886906812842597</v>
      </c>
      <c r="E5">
        <v>12.32482380579483</v>
      </c>
      <c r="F5">
        <v>72.663249804228656</v>
      </c>
      <c r="G5">
        <v>408.67033672670323</v>
      </c>
      <c r="I5">
        <v>3</v>
      </c>
      <c r="J5">
        <v>28.579451840250588</v>
      </c>
      <c r="K5">
        <v>5.6836883320281908</v>
      </c>
      <c r="L5">
        <v>78.312223962411906</v>
      </c>
      <c r="M5">
        <v>4.1268676585747848</v>
      </c>
      <c r="N5">
        <v>85.905019577133913</v>
      </c>
      <c r="O5">
        <v>202.60725137039938</v>
      </c>
      <c r="Q5">
        <v>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25">
      <c r="A6">
        <v>4</v>
      </c>
      <c r="B6">
        <v>87.490830070477671</v>
      </c>
      <c r="C6">
        <v>8.8124745497259198</v>
      </c>
      <c r="D6">
        <v>90.541409553641344</v>
      </c>
      <c r="E6">
        <v>9.9191307752545033</v>
      </c>
      <c r="F6">
        <v>83.006562255285829</v>
      </c>
      <c r="G6">
        <v>279.77040720438532</v>
      </c>
      <c r="I6">
        <v>4</v>
      </c>
      <c r="J6">
        <v>64.564596711041503</v>
      </c>
      <c r="K6">
        <v>5.7412920908379013</v>
      </c>
      <c r="L6">
        <v>76.24722004698512</v>
      </c>
      <c r="M6">
        <v>11.970712607674237</v>
      </c>
      <c r="N6">
        <v>113.2466327329679</v>
      </c>
      <c r="O6">
        <v>271.77045418950667</v>
      </c>
      <c r="Q6">
        <v>4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5">
      <c r="A7">
        <v>5</v>
      </c>
      <c r="B7">
        <v>37.115544244322635</v>
      </c>
      <c r="C7">
        <v>9.3795301487862179</v>
      </c>
      <c r="D7">
        <v>111.4702114330462</v>
      </c>
      <c r="E7">
        <v>18.583829287392327</v>
      </c>
      <c r="F7">
        <v>94.466836335160522</v>
      </c>
      <c r="G7">
        <v>271.01595144870788</v>
      </c>
      <c r="I7">
        <v>5</v>
      </c>
      <c r="J7">
        <v>76.39747063429914</v>
      </c>
      <c r="K7">
        <v>12.033750978856697</v>
      </c>
      <c r="L7">
        <v>87.292404072043851</v>
      </c>
      <c r="M7">
        <v>6.3843696162881756</v>
      </c>
      <c r="N7">
        <v>155.4728582615505</v>
      </c>
      <c r="O7">
        <v>337.58085356303837</v>
      </c>
      <c r="Q7">
        <v>5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5">
      <c r="A8">
        <v>6</v>
      </c>
      <c r="B8">
        <v>397.20549725920125</v>
      </c>
      <c r="C8">
        <v>12.506945967110415</v>
      </c>
      <c r="D8">
        <v>148.62952231793264</v>
      </c>
      <c r="E8">
        <v>14.669342208300705</v>
      </c>
      <c r="F8">
        <v>148.02041503523884</v>
      </c>
      <c r="G8">
        <v>721.03172278778391</v>
      </c>
      <c r="I8">
        <v>6</v>
      </c>
      <c r="J8">
        <v>124.75194988253719</v>
      </c>
      <c r="K8">
        <v>12.599342208300705</v>
      </c>
      <c r="L8">
        <v>100.02923257635082</v>
      </c>
      <c r="M8">
        <v>5.9966953797963978</v>
      </c>
      <c r="N8">
        <v>124.66293657008615</v>
      </c>
      <c r="O8">
        <v>368.04015661707126</v>
      </c>
      <c r="Q8">
        <v>6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5">
      <c r="A9">
        <v>7</v>
      </c>
      <c r="B9">
        <v>44.063320281910727</v>
      </c>
      <c r="C9">
        <v>8.11566953797964</v>
      </c>
      <c r="D9">
        <v>126.24551292090837</v>
      </c>
      <c r="E9">
        <v>14.944455755677369</v>
      </c>
      <c r="F9">
        <v>97.422725137039947</v>
      </c>
      <c r="G9">
        <v>290.79168363351602</v>
      </c>
      <c r="I9">
        <v>7</v>
      </c>
      <c r="J9">
        <v>51.111660140955358</v>
      </c>
      <c r="K9">
        <v>11.522176977290524</v>
      </c>
      <c r="L9">
        <v>111.74826938136258</v>
      </c>
      <c r="M9">
        <v>14.742701644479249</v>
      </c>
      <c r="N9">
        <v>102.86148003132341</v>
      </c>
      <c r="O9">
        <v>291.98628817541112</v>
      </c>
      <c r="Q9">
        <v>7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5">
      <c r="A10">
        <v>8</v>
      </c>
      <c r="B10">
        <v>53.830297572435391</v>
      </c>
      <c r="C10">
        <v>11.380046985121378</v>
      </c>
      <c r="D10">
        <v>154.03298355520752</v>
      </c>
      <c r="E10">
        <v>7.5138919342208297</v>
      </c>
      <c r="F10">
        <v>159.46507439310884</v>
      </c>
      <c r="G10">
        <v>386.22229444009395</v>
      </c>
      <c r="I10">
        <v>8</v>
      </c>
      <c r="J10">
        <v>153.69196554424434</v>
      </c>
      <c r="K10">
        <v>16.515191855912295</v>
      </c>
      <c r="L10">
        <v>167.52772905246673</v>
      </c>
      <c r="M10">
        <v>13.752270947533281</v>
      </c>
      <c r="N10">
        <v>232.72759592795614</v>
      </c>
      <c r="O10">
        <v>584.21475332811281</v>
      </c>
      <c r="Q10">
        <v>8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5">
      <c r="A11">
        <v>9</v>
      </c>
      <c r="B11">
        <v>67.282153484729832</v>
      </c>
      <c r="C11">
        <v>16.88249804228661</v>
      </c>
      <c r="D11">
        <v>92.96702427564604</v>
      </c>
      <c r="E11">
        <v>9.248974158183243</v>
      </c>
      <c r="F11">
        <v>104.62054032889584</v>
      </c>
      <c r="G11">
        <v>291.0011902897416</v>
      </c>
      <c r="I11">
        <v>9</v>
      </c>
      <c r="J11">
        <v>55.404604541895061</v>
      </c>
      <c r="K11">
        <v>12.904902114330463</v>
      </c>
      <c r="L11">
        <v>100.90973375097886</v>
      </c>
      <c r="M11">
        <v>5.8493970242756461</v>
      </c>
      <c r="N11">
        <v>123.10505090054815</v>
      </c>
      <c r="O11">
        <v>298.17368833202812</v>
      </c>
      <c r="Q11">
        <v>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>
        <v>10</v>
      </c>
      <c r="B12">
        <v>24.440078308535629</v>
      </c>
      <c r="C12">
        <v>10.134048551292091</v>
      </c>
      <c r="D12">
        <v>114.59556773688332</v>
      </c>
      <c r="E12">
        <v>8.5578073610023484</v>
      </c>
      <c r="F12">
        <v>148.87967110415036</v>
      </c>
      <c r="G12">
        <v>306.6071730618637</v>
      </c>
      <c r="I12">
        <v>10</v>
      </c>
      <c r="J12">
        <v>134.17984338292874</v>
      </c>
      <c r="K12">
        <v>12.670368050117462</v>
      </c>
      <c r="L12">
        <v>146.1490916209867</v>
      </c>
      <c r="M12">
        <v>11.464815974941269</v>
      </c>
      <c r="N12">
        <v>132.66832419733751</v>
      </c>
      <c r="O12">
        <v>437.13244322631169</v>
      </c>
      <c r="Q12">
        <v>10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5">
      <c r="A13">
        <v>11</v>
      </c>
      <c r="B13">
        <v>30.553680501174629</v>
      </c>
      <c r="C13">
        <v>8.1962568519968677</v>
      </c>
      <c r="D13">
        <v>120.25361002349256</v>
      </c>
      <c r="E13">
        <v>3.8219420516836333</v>
      </c>
      <c r="F13">
        <v>154.77096319498824</v>
      </c>
      <c r="G13">
        <v>317.59645262333595</v>
      </c>
      <c r="I13">
        <v>11</v>
      </c>
      <c r="J13">
        <v>70.388566953797962</v>
      </c>
      <c r="K13">
        <v>13.198551292090837</v>
      </c>
      <c r="L13">
        <v>123.71025841816758</v>
      </c>
      <c r="M13">
        <v>31.176805011746278</v>
      </c>
      <c r="N13">
        <v>121.64524667188725</v>
      </c>
      <c r="O13">
        <v>360.1194283476899</v>
      </c>
      <c r="Q13">
        <v>11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5">
      <c r="A14">
        <v>12</v>
      </c>
      <c r="B14">
        <v>17.15628817541112</v>
      </c>
      <c r="C14">
        <v>10.001644479248238</v>
      </c>
      <c r="D14">
        <v>106.98797963978073</v>
      </c>
      <c r="E14">
        <v>9.6810649960845723</v>
      </c>
      <c r="F14">
        <v>106.28350822239625</v>
      </c>
      <c r="G14">
        <v>250.11048551292089</v>
      </c>
      <c r="I14">
        <v>12</v>
      </c>
      <c r="J14">
        <v>164.5138136256852</v>
      </c>
      <c r="K14">
        <v>16.306147220046984</v>
      </c>
      <c r="L14">
        <v>134.26263899765075</v>
      </c>
      <c r="M14">
        <v>10.732599843382928</v>
      </c>
      <c r="N14">
        <v>147.76619420516835</v>
      </c>
      <c r="O14">
        <v>473.58139389193428</v>
      </c>
      <c r="Q14">
        <v>12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25">
      <c r="A15" t="s">
        <v>13</v>
      </c>
      <c r="B15">
        <v>1439.8353406421304</v>
      </c>
      <c r="C15">
        <v>118.56855129209085</v>
      </c>
      <c r="D15">
        <v>1236.3669459671103</v>
      </c>
      <c r="E15">
        <v>115.94740798747063</v>
      </c>
      <c r="F15">
        <v>1261.5006186374317</v>
      </c>
      <c r="G15">
        <v>4172.2188645262331</v>
      </c>
      <c r="I15" t="s">
        <v>13</v>
      </c>
      <c r="J15">
        <v>1008.4936178543462</v>
      </c>
      <c r="K15">
        <v>128.28320281910729</v>
      </c>
      <c r="L15">
        <v>1249.3027329678937</v>
      </c>
      <c r="M15">
        <v>142.78718089271729</v>
      </c>
      <c r="N15">
        <v>1535.6215661707124</v>
      </c>
      <c r="O15">
        <v>4064.4883007047774</v>
      </c>
      <c r="Q15" t="s">
        <v>13</v>
      </c>
      <c r="R15">
        <v>133.79428347689898</v>
      </c>
      <c r="S15">
        <v>3.3134847298355519</v>
      </c>
      <c r="T15">
        <v>40.758739232576353</v>
      </c>
      <c r="U15">
        <v>1.436734534064213</v>
      </c>
      <c r="V15">
        <v>49.026014095536418</v>
      </c>
      <c r="W15">
        <v>228.32925606891149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9E9A-A9B4-4F3C-826D-F85831173992}">
  <sheetPr codeName="Sheet49"/>
  <dimension ref="A1:W15"/>
  <sheetViews>
    <sheetView workbookViewId="0"/>
  </sheetViews>
  <sheetFormatPr defaultRowHeight="15" x14ac:dyDescent="0.25"/>
  <sheetData>
    <row r="1" spans="1:23" x14ac:dyDescent="0.25">
      <c r="A1">
        <v>2017</v>
      </c>
      <c r="B1" t="s">
        <v>1001</v>
      </c>
      <c r="I1">
        <v>2018</v>
      </c>
      <c r="J1" t="s">
        <v>1001</v>
      </c>
      <c r="Q1">
        <v>2019</v>
      </c>
      <c r="R1" t="s">
        <v>1001</v>
      </c>
    </row>
    <row r="2" spans="1:23" x14ac:dyDescent="0.25">
      <c r="A2" t="s">
        <v>0</v>
      </c>
      <c r="B2" t="s">
        <v>960</v>
      </c>
      <c r="C2" t="s">
        <v>961</v>
      </c>
      <c r="D2" t="s">
        <v>962</v>
      </c>
      <c r="E2" t="s">
        <v>1002</v>
      </c>
      <c r="F2" t="s">
        <v>964</v>
      </c>
      <c r="G2" t="s">
        <v>13</v>
      </c>
      <c r="I2" t="s">
        <v>0</v>
      </c>
      <c r="J2" t="s">
        <v>960</v>
      </c>
      <c r="K2" t="s">
        <v>961</v>
      </c>
      <c r="L2" t="s">
        <v>962</v>
      </c>
      <c r="M2" t="s">
        <v>1002</v>
      </c>
      <c r="N2" t="s">
        <v>964</v>
      </c>
      <c r="O2" t="s">
        <v>13</v>
      </c>
      <c r="Q2" t="s">
        <v>0</v>
      </c>
      <c r="R2" t="s">
        <v>960</v>
      </c>
      <c r="S2" t="s">
        <v>961</v>
      </c>
      <c r="T2" t="s">
        <v>962</v>
      </c>
      <c r="U2" t="s">
        <v>1002</v>
      </c>
      <c r="V2" t="s">
        <v>964</v>
      </c>
      <c r="W2" t="s">
        <v>13</v>
      </c>
    </row>
    <row r="3" spans="1:23" x14ac:dyDescent="0.25">
      <c r="A3">
        <v>1</v>
      </c>
      <c r="B3">
        <v>11445.7</v>
      </c>
      <c r="C3">
        <v>22.863478260869567</v>
      </c>
      <c r="D3">
        <v>120.17053191489363</v>
      </c>
      <c r="E3">
        <v>229.40799999999999</v>
      </c>
      <c r="F3">
        <v>87.753823529411761</v>
      </c>
      <c r="G3">
        <v>174.51121019108285</v>
      </c>
      <c r="I3">
        <v>1</v>
      </c>
      <c r="J3">
        <v>14455.4</v>
      </c>
      <c r="K3">
        <v>26.740967741935485</v>
      </c>
      <c r="L3">
        <v>71.334830659536536</v>
      </c>
      <c r="M3">
        <v>526.06705882352935</v>
      </c>
      <c r="N3">
        <v>419.54719858156028</v>
      </c>
      <c r="O3">
        <v>142.81066425120773</v>
      </c>
      <c r="Q3">
        <v>1</v>
      </c>
      <c r="R3">
        <v>28475.883333333331</v>
      </c>
      <c r="S3">
        <v>24.178971428571426</v>
      </c>
      <c r="T3">
        <v>56.329989177489182</v>
      </c>
      <c r="U3">
        <v>61.157000000000004</v>
      </c>
      <c r="V3">
        <v>267.54794871794871</v>
      </c>
      <c r="W3">
        <v>212.98499634769902</v>
      </c>
    </row>
    <row r="4" spans="1:23" x14ac:dyDescent="0.25">
      <c r="A4">
        <v>2</v>
      </c>
      <c r="B4">
        <v>63590.78333333334</v>
      </c>
      <c r="C4">
        <v>76.022995594713663</v>
      </c>
      <c r="D4">
        <v>94.819539267015713</v>
      </c>
      <c r="E4">
        <v>199.62324324324325</v>
      </c>
      <c r="F4">
        <v>399.90923076923076</v>
      </c>
      <c r="G4">
        <v>529.64797225891687</v>
      </c>
      <c r="I4">
        <v>2</v>
      </c>
      <c r="J4">
        <v>46987.14</v>
      </c>
      <c r="K4">
        <v>30.835238095238093</v>
      </c>
      <c r="L4">
        <v>84.440711159737418</v>
      </c>
      <c r="M4">
        <v>459.11657142857143</v>
      </c>
      <c r="N4">
        <v>561.61581196581199</v>
      </c>
      <c r="O4">
        <v>236.14856622998545</v>
      </c>
      <c r="Q4">
        <v>2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25">
      <c r="A5">
        <v>3</v>
      </c>
      <c r="B5">
        <v>25953.468181818185</v>
      </c>
      <c r="C5">
        <v>53.597818181818184</v>
      </c>
      <c r="D5">
        <v>109.38980207351555</v>
      </c>
      <c r="E5">
        <v>403.55897435897435</v>
      </c>
      <c r="F5">
        <v>480.78222797927464</v>
      </c>
      <c r="G5">
        <v>342.43570866141732</v>
      </c>
      <c r="I5">
        <v>3</v>
      </c>
      <c r="J5">
        <v>9123.99</v>
      </c>
      <c r="K5">
        <v>31.150515021459228</v>
      </c>
      <c r="L5">
        <v>100.20512024048097</v>
      </c>
      <c r="M5">
        <v>155.00029411764706</v>
      </c>
      <c r="N5">
        <v>458.99878661087871</v>
      </c>
      <c r="O5">
        <v>171.57125994694962</v>
      </c>
      <c r="Q5">
        <v>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25">
      <c r="A6">
        <v>4</v>
      </c>
      <c r="B6">
        <v>13965.723749999999</v>
      </c>
      <c r="C6">
        <v>63.57926553672317</v>
      </c>
      <c r="D6">
        <v>129.91166292134832</v>
      </c>
      <c r="E6">
        <v>316.66825</v>
      </c>
      <c r="F6">
        <v>535.3504040404041</v>
      </c>
      <c r="G6">
        <v>272.09962680883478</v>
      </c>
      <c r="I6">
        <v>4</v>
      </c>
      <c r="J6">
        <v>7495.3627272727281</v>
      </c>
      <c r="K6">
        <v>42.875029239766086</v>
      </c>
      <c r="L6">
        <v>110.14445701357465</v>
      </c>
      <c r="M6">
        <v>363.9666666666667</v>
      </c>
      <c r="N6">
        <v>618.01688034188044</v>
      </c>
      <c r="O6">
        <v>258.60720566318929</v>
      </c>
      <c r="Q6">
        <v>4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5">
      <c r="A7">
        <v>5</v>
      </c>
      <c r="B7">
        <v>4739.6550000000007</v>
      </c>
      <c r="C7">
        <v>67.670395480225991</v>
      </c>
      <c r="D7">
        <v>143.93069767441861</v>
      </c>
      <c r="E7">
        <v>376.69126984126984</v>
      </c>
      <c r="F7">
        <v>494.40225409836063</v>
      </c>
      <c r="G7">
        <v>233.36977073499662</v>
      </c>
      <c r="I7">
        <v>5</v>
      </c>
      <c r="J7">
        <v>32519.85666666667</v>
      </c>
      <c r="K7">
        <v>73.176666666666662</v>
      </c>
      <c r="L7">
        <v>113.63139653414882</v>
      </c>
      <c r="M7">
        <v>220.34702702702702</v>
      </c>
      <c r="N7">
        <v>610.88873846153842</v>
      </c>
      <c r="O7">
        <v>277.05061053984576</v>
      </c>
      <c r="Q7">
        <v>5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5">
      <c r="A8">
        <v>6</v>
      </c>
      <c r="B8">
        <v>29837.142352941177</v>
      </c>
      <c r="C8">
        <v>72.9286301369863</v>
      </c>
      <c r="D8">
        <v>177.54901777362019</v>
      </c>
      <c r="E8">
        <v>425.74431818181819</v>
      </c>
      <c r="F8">
        <v>702.68427509293679</v>
      </c>
      <c r="G8">
        <v>569.07139060568602</v>
      </c>
      <c r="I8">
        <v>6</v>
      </c>
      <c r="J8">
        <v>12254.48</v>
      </c>
      <c r="K8">
        <v>77.352692307692308</v>
      </c>
      <c r="L8">
        <v>129.55104462474645</v>
      </c>
      <c r="M8">
        <v>212.7161111111111</v>
      </c>
      <c r="N8">
        <v>527.13433774834436</v>
      </c>
      <c r="O8">
        <v>304.19888673139161</v>
      </c>
      <c r="Q8">
        <v>6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5">
      <c r="A9">
        <v>7</v>
      </c>
      <c r="B9">
        <v>18756.286666666667</v>
      </c>
      <c r="C9">
        <v>66.434038461538449</v>
      </c>
      <c r="D9">
        <v>164.17059063136455</v>
      </c>
      <c r="E9">
        <v>454.38261904761902</v>
      </c>
      <c r="F9">
        <v>533.94343347639483</v>
      </c>
      <c r="G9">
        <v>262.24645480225985</v>
      </c>
      <c r="I9">
        <v>7</v>
      </c>
      <c r="J9">
        <v>9324.2271428571421</v>
      </c>
      <c r="K9">
        <v>65.394755555555548</v>
      </c>
      <c r="L9">
        <v>143.99852674066599</v>
      </c>
      <c r="M9">
        <v>369.14568627450979</v>
      </c>
      <c r="N9">
        <v>409.20283489096568</v>
      </c>
      <c r="O9">
        <v>233.77209404388714</v>
      </c>
      <c r="Q9">
        <v>7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5">
      <c r="A10">
        <v>8</v>
      </c>
      <c r="B10">
        <v>6874.128999999999</v>
      </c>
      <c r="C10">
        <v>59.074471544715443</v>
      </c>
      <c r="D10">
        <v>164.46498327759198</v>
      </c>
      <c r="E10">
        <v>282.21294117647057</v>
      </c>
      <c r="F10">
        <v>595.42953216374269</v>
      </c>
      <c r="G10">
        <v>269.80627461706786</v>
      </c>
      <c r="I10">
        <v>8</v>
      </c>
      <c r="J10">
        <v>9813.232</v>
      </c>
      <c r="K10">
        <v>78.988389513108615</v>
      </c>
      <c r="L10">
        <v>170.87293130990415</v>
      </c>
      <c r="M10">
        <v>337.7240384615385</v>
      </c>
      <c r="N10">
        <v>823.24969529085877</v>
      </c>
      <c r="O10">
        <v>382.19377049180326</v>
      </c>
      <c r="Q10">
        <v>8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5">
      <c r="A11">
        <v>9</v>
      </c>
      <c r="B11">
        <v>5727.9539999999997</v>
      </c>
      <c r="C11">
        <v>102.66166666666668</v>
      </c>
      <c r="D11">
        <v>127.7921313240043</v>
      </c>
      <c r="E11">
        <v>328.08166666666671</v>
      </c>
      <c r="F11">
        <v>561.34634453781507</v>
      </c>
      <c r="G11">
        <v>260.23005602240897</v>
      </c>
      <c r="I11">
        <v>9</v>
      </c>
      <c r="J11">
        <v>7075.1679999999997</v>
      </c>
      <c r="K11">
        <v>98.68</v>
      </c>
      <c r="L11">
        <v>145.44213318284423</v>
      </c>
      <c r="M11">
        <v>266.77428571428572</v>
      </c>
      <c r="N11">
        <v>727.8016203703703</v>
      </c>
      <c r="O11">
        <v>291.32960979341999</v>
      </c>
      <c r="Q11">
        <v>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>
        <v>10</v>
      </c>
      <c r="B12">
        <v>15604.99</v>
      </c>
      <c r="C12">
        <v>71.89544444444445</v>
      </c>
      <c r="D12">
        <v>123.3883136593592</v>
      </c>
      <c r="E12">
        <v>248.37090909090909</v>
      </c>
      <c r="F12">
        <v>785.61710743801655</v>
      </c>
      <c r="G12">
        <v>236.72149939540506</v>
      </c>
      <c r="I12">
        <v>10</v>
      </c>
      <c r="J12">
        <v>9519.3144444444442</v>
      </c>
      <c r="K12">
        <v>83.834507772020729</v>
      </c>
      <c r="L12">
        <v>147.65220727848103</v>
      </c>
      <c r="M12">
        <v>325.346</v>
      </c>
      <c r="N12">
        <v>544.75064308681681</v>
      </c>
      <c r="O12">
        <v>304.8706335335882</v>
      </c>
      <c r="Q12">
        <v>10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5">
      <c r="A13">
        <v>11</v>
      </c>
      <c r="B13">
        <v>9754.2625000000007</v>
      </c>
      <c r="C13">
        <v>52.596080402010053</v>
      </c>
      <c r="D13">
        <v>150.25818003913892</v>
      </c>
      <c r="E13">
        <v>162.68733333333333</v>
      </c>
      <c r="F13">
        <v>787.42039840637449</v>
      </c>
      <c r="G13">
        <v>269.30323373173968</v>
      </c>
      <c r="I13">
        <v>11</v>
      </c>
      <c r="J13">
        <v>11235.775</v>
      </c>
      <c r="K13">
        <v>77.314449541284404</v>
      </c>
      <c r="L13">
        <v>147.78110383536014</v>
      </c>
      <c r="M13">
        <v>780.6427450980392</v>
      </c>
      <c r="N13">
        <v>493.14596825396831</v>
      </c>
      <c r="O13">
        <v>276.8648464780253</v>
      </c>
      <c r="Q13">
        <v>11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5">
      <c r="A14">
        <v>12</v>
      </c>
      <c r="B14">
        <v>7302.8600000000006</v>
      </c>
      <c r="C14">
        <v>58.055</v>
      </c>
      <c r="D14">
        <v>142.02042619542618</v>
      </c>
      <c r="E14">
        <v>374.62787878787879</v>
      </c>
      <c r="F14">
        <v>471.26402777777781</v>
      </c>
      <c r="G14">
        <v>212.07907702523238</v>
      </c>
      <c r="I14">
        <v>12</v>
      </c>
      <c r="J14">
        <v>14005.609333333334</v>
      </c>
      <c r="K14">
        <v>86.045247933884298</v>
      </c>
      <c r="L14">
        <v>157.15251145737855</v>
      </c>
      <c r="M14">
        <v>297.94630434782613</v>
      </c>
      <c r="N14">
        <v>515.5667486338798</v>
      </c>
      <c r="O14">
        <v>343.61559090909094</v>
      </c>
      <c r="Q14">
        <v>12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25">
      <c r="A15" t="s">
        <v>13</v>
      </c>
      <c r="B15">
        <v>19770.642258064519</v>
      </c>
      <c r="C15">
        <v>67.174818101153505</v>
      </c>
      <c r="D15">
        <v>139.28898014997793</v>
      </c>
      <c r="E15">
        <v>331.24125279642055</v>
      </c>
      <c r="F15">
        <v>571.65943577004975</v>
      </c>
      <c r="G15">
        <v>314.38741311146515</v>
      </c>
      <c r="I15" t="s">
        <v>13</v>
      </c>
      <c r="J15">
        <v>11498.628125000001</v>
      </c>
      <c r="K15">
        <v>64.495137795275582</v>
      </c>
      <c r="L15">
        <v>128.26496140858663</v>
      </c>
      <c r="M15">
        <v>371.36299389002033</v>
      </c>
      <c r="N15">
        <v>559.32365658870503</v>
      </c>
      <c r="O15">
        <v>271.93123906323677</v>
      </c>
      <c r="Q15" t="s">
        <v>13</v>
      </c>
      <c r="R15">
        <v>28475.883333333331</v>
      </c>
      <c r="S15">
        <v>24.178971428571426</v>
      </c>
      <c r="T15">
        <v>56.329989177489182</v>
      </c>
      <c r="U15">
        <v>61.157000000000004</v>
      </c>
      <c r="V15">
        <v>267.54794871794871</v>
      </c>
      <c r="W15">
        <v>212.98499634769902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6AD30-E7D5-4B24-AFE4-45B6C2BD7D5E}">
  <sheetPr codeName="Sheet50"/>
  <dimension ref="A1:U15"/>
  <sheetViews>
    <sheetView workbookViewId="0"/>
  </sheetViews>
  <sheetFormatPr defaultRowHeight="15" x14ac:dyDescent="0.25"/>
  <sheetData>
    <row r="1" spans="1:21" x14ac:dyDescent="0.25">
      <c r="A1">
        <v>2017</v>
      </c>
      <c r="B1" t="s">
        <v>1003</v>
      </c>
      <c r="I1">
        <v>2018</v>
      </c>
      <c r="J1" t="s">
        <v>1003</v>
      </c>
      <c r="Q1">
        <v>2019</v>
      </c>
      <c r="R1" t="s">
        <v>1003</v>
      </c>
    </row>
    <row r="2" spans="1:21" x14ac:dyDescent="0.25">
      <c r="A2" t="s">
        <v>0</v>
      </c>
      <c r="B2" t="s">
        <v>1004</v>
      </c>
      <c r="C2" t="s">
        <v>1005</v>
      </c>
      <c r="D2" t="s">
        <v>1006</v>
      </c>
      <c r="E2" t="s">
        <v>13</v>
      </c>
      <c r="I2" t="s">
        <v>0</v>
      </c>
      <c r="J2" t="s">
        <v>1004</v>
      </c>
      <c r="K2" t="s">
        <v>1005</v>
      </c>
      <c r="L2" t="s">
        <v>1006</v>
      </c>
      <c r="M2" t="s">
        <v>13</v>
      </c>
      <c r="Q2" t="s">
        <v>0</v>
      </c>
      <c r="R2" t="s">
        <v>1004</v>
      </c>
      <c r="S2" t="s">
        <v>1005</v>
      </c>
      <c r="T2" t="s">
        <v>1006</v>
      </c>
      <c r="U2" t="s">
        <v>13</v>
      </c>
    </row>
    <row r="3" spans="1:21" x14ac:dyDescent="0.25">
      <c r="A3">
        <v>1</v>
      </c>
      <c r="B3">
        <v>4450</v>
      </c>
      <c r="C3">
        <v>523.51</v>
      </c>
      <c r="D3">
        <v>3785.97</v>
      </c>
      <c r="E3">
        <v>4973.51</v>
      </c>
      <c r="I3">
        <v>1</v>
      </c>
      <c r="J3">
        <v>54403.48</v>
      </c>
      <c r="K3">
        <v>11186.19</v>
      </c>
      <c r="L3">
        <v>31537.77</v>
      </c>
      <c r="M3">
        <v>65589.67</v>
      </c>
      <c r="Q3">
        <v>1</v>
      </c>
      <c r="R3">
        <v>50112.24</v>
      </c>
      <c r="S3">
        <v>18202.61</v>
      </c>
      <c r="T3">
        <v>42766.46</v>
      </c>
      <c r="U3">
        <v>68314.850000000006</v>
      </c>
    </row>
    <row r="4" spans="1:21" x14ac:dyDescent="0.25">
      <c r="A4">
        <v>2</v>
      </c>
      <c r="B4">
        <v>38629.03</v>
      </c>
      <c r="C4">
        <v>10580.34</v>
      </c>
      <c r="D4">
        <v>13209.5</v>
      </c>
      <c r="E4">
        <v>49209.37</v>
      </c>
      <c r="I4">
        <v>2</v>
      </c>
      <c r="J4">
        <v>71329.37</v>
      </c>
      <c r="K4">
        <v>12352.46</v>
      </c>
      <c r="L4">
        <v>47416.31</v>
      </c>
      <c r="M4">
        <v>83681.83</v>
      </c>
      <c r="Q4">
        <v>2</v>
      </c>
    </row>
    <row r="5" spans="1:21" x14ac:dyDescent="0.25">
      <c r="A5">
        <v>3</v>
      </c>
      <c r="B5">
        <v>46503.09</v>
      </c>
      <c r="C5">
        <v>18652.77</v>
      </c>
      <c r="D5">
        <v>22744.34</v>
      </c>
      <c r="E5">
        <v>65155.86</v>
      </c>
      <c r="I5">
        <v>3</v>
      </c>
      <c r="J5">
        <v>83361.73</v>
      </c>
      <c r="K5">
        <v>19946.3</v>
      </c>
      <c r="L5">
        <v>61019.73</v>
      </c>
      <c r="M5">
        <v>103308.03</v>
      </c>
      <c r="Q5">
        <v>3</v>
      </c>
    </row>
    <row r="6" spans="1:21" x14ac:dyDescent="0.25">
      <c r="A6">
        <v>4</v>
      </c>
      <c r="B6">
        <v>42619.02</v>
      </c>
      <c r="C6">
        <v>17870.16</v>
      </c>
      <c r="D6">
        <v>19339.650000000001</v>
      </c>
      <c r="E6">
        <v>60489.18</v>
      </c>
      <c r="I6">
        <v>4</v>
      </c>
      <c r="J6">
        <v>72855.25</v>
      </c>
      <c r="K6">
        <v>17106.05</v>
      </c>
      <c r="L6">
        <v>36464.33</v>
      </c>
      <c r="M6">
        <v>89961.3</v>
      </c>
      <c r="Q6">
        <v>4</v>
      </c>
    </row>
    <row r="7" spans="1:21" x14ac:dyDescent="0.25">
      <c r="A7">
        <v>5</v>
      </c>
      <c r="B7">
        <v>47076.65</v>
      </c>
      <c r="C7">
        <v>17066.64</v>
      </c>
      <c r="D7">
        <v>19930.91</v>
      </c>
      <c r="E7">
        <v>64143.29</v>
      </c>
      <c r="I7">
        <v>5</v>
      </c>
      <c r="J7">
        <v>108978.34</v>
      </c>
      <c r="K7">
        <v>13884.99</v>
      </c>
      <c r="L7">
        <v>80795.78</v>
      </c>
      <c r="M7">
        <v>122863.33</v>
      </c>
      <c r="Q7">
        <v>5</v>
      </c>
    </row>
    <row r="8" spans="1:21" x14ac:dyDescent="0.25">
      <c r="A8">
        <v>6</v>
      </c>
      <c r="B8">
        <v>72010.38</v>
      </c>
      <c r="C8">
        <v>23548.69</v>
      </c>
      <c r="D8">
        <v>39162.5</v>
      </c>
      <c r="E8">
        <v>95559.07</v>
      </c>
      <c r="I8">
        <v>6</v>
      </c>
      <c r="J8">
        <v>92193.13</v>
      </c>
      <c r="K8">
        <v>24666.45</v>
      </c>
      <c r="L8">
        <v>51626.16</v>
      </c>
      <c r="M8">
        <v>116859.58</v>
      </c>
      <c r="Q8">
        <v>6</v>
      </c>
    </row>
    <row r="9" spans="1:21" x14ac:dyDescent="0.25">
      <c r="A9">
        <v>7</v>
      </c>
      <c r="B9">
        <v>66870.23</v>
      </c>
      <c r="C9">
        <v>23980.39</v>
      </c>
      <c r="D9">
        <v>31273.21</v>
      </c>
      <c r="E9">
        <v>90850.62</v>
      </c>
      <c r="I9">
        <v>7</v>
      </c>
      <c r="J9">
        <v>65477.54</v>
      </c>
      <c r="K9">
        <v>19746.490000000002</v>
      </c>
      <c r="L9">
        <v>46719.14</v>
      </c>
      <c r="M9">
        <v>85224.03</v>
      </c>
      <c r="Q9">
        <v>7</v>
      </c>
    </row>
    <row r="10" spans="1:21" x14ac:dyDescent="0.25">
      <c r="A10">
        <v>8</v>
      </c>
      <c r="B10">
        <v>77190.63</v>
      </c>
      <c r="C10">
        <v>22034.36</v>
      </c>
      <c r="D10">
        <v>34333.32</v>
      </c>
      <c r="E10">
        <v>99224.99</v>
      </c>
      <c r="I10">
        <v>8</v>
      </c>
      <c r="J10">
        <v>94756.69</v>
      </c>
      <c r="K10">
        <v>23955.3</v>
      </c>
      <c r="L10">
        <v>52785.57</v>
      </c>
      <c r="M10">
        <v>118711.99</v>
      </c>
      <c r="Q10">
        <v>8</v>
      </c>
    </row>
    <row r="11" spans="1:21" x14ac:dyDescent="0.25">
      <c r="A11">
        <v>9</v>
      </c>
      <c r="B11">
        <v>72692.03</v>
      </c>
      <c r="C11">
        <v>18120.669999999998</v>
      </c>
      <c r="D11">
        <v>53684.35</v>
      </c>
      <c r="E11">
        <v>90812.7</v>
      </c>
      <c r="I11">
        <v>9</v>
      </c>
      <c r="J11">
        <v>76784.789999999994</v>
      </c>
      <c r="K11">
        <v>18075.16</v>
      </c>
      <c r="L11">
        <v>49314.14</v>
      </c>
      <c r="M11">
        <v>94859.95</v>
      </c>
      <c r="Q11">
        <v>9</v>
      </c>
    </row>
    <row r="12" spans="1:21" x14ac:dyDescent="0.25">
      <c r="A12">
        <v>10</v>
      </c>
      <c r="B12">
        <v>81764.77</v>
      </c>
      <c r="C12">
        <v>24291.23</v>
      </c>
      <c r="D12">
        <v>47632.98</v>
      </c>
      <c r="E12">
        <v>106056</v>
      </c>
      <c r="I12">
        <v>10</v>
      </c>
      <c r="J12">
        <v>80618.39</v>
      </c>
      <c r="K12">
        <v>21248.47</v>
      </c>
      <c r="L12">
        <v>54277.34</v>
      </c>
      <c r="M12">
        <v>101866.86</v>
      </c>
      <c r="Q12">
        <v>10</v>
      </c>
    </row>
    <row r="13" spans="1:21" x14ac:dyDescent="0.25">
      <c r="A13">
        <v>11</v>
      </c>
      <c r="B13">
        <v>92376.11</v>
      </c>
      <c r="C13">
        <v>15168.04</v>
      </c>
      <c r="D13">
        <v>51328.63</v>
      </c>
      <c r="E13">
        <v>107544.15</v>
      </c>
      <c r="I13">
        <v>11</v>
      </c>
      <c r="J13">
        <v>79536.820000000007</v>
      </c>
      <c r="K13">
        <v>24385</v>
      </c>
      <c r="L13">
        <v>42154.13</v>
      </c>
      <c r="M13">
        <v>103921.82</v>
      </c>
      <c r="Q13">
        <v>11</v>
      </c>
    </row>
    <row r="14" spans="1:21" x14ac:dyDescent="0.25">
      <c r="A14">
        <v>12</v>
      </c>
      <c r="B14">
        <v>102094.06</v>
      </c>
      <c r="C14">
        <v>29340.99</v>
      </c>
      <c r="D14">
        <v>68663.88</v>
      </c>
      <c r="E14">
        <v>131435.04999999999</v>
      </c>
      <c r="I14">
        <v>12</v>
      </c>
      <c r="J14">
        <v>95317.49</v>
      </c>
      <c r="K14">
        <v>38820.800000000003</v>
      </c>
      <c r="L14">
        <v>65664.850000000006</v>
      </c>
      <c r="M14">
        <v>134138.29</v>
      </c>
      <c r="Q14">
        <v>12</v>
      </c>
    </row>
    <row r="15" spans="1:21" x14ac:dyDescent="0.25">
      <c r="A15" t="s">
        <v>13</v>
      </c>
      <c r="B15">
        <v>744276</v>
      </c>
      <c r="C15">
        <v>221177.78999999998</v>
      </c>
      <c r="D15">
        <v>405089.24</v>
      </c>
      <c r="E15">
        <v>965453.79</v>
      </c>
      <c r="I15" t="s">
        <v>13</v>
      </c>
      <c r="J15">
        <v>975613.02</v>
      </c>
      <c r="K15">
        <v>245373.66000000003</v>
      </c>
      <c r="L15">
        <v>619775.25</v>
      </c>
      <c r="M15">
        <v>1220986.68</v>
      </c>
      <c r="Q15" t="s">
        <v>13</v>
      </c>
      <c r="R15">
        <v>50112.24</v>
      </c>
      <c r="S15">
        <v>18202.61</v>
      </c>
      <c r="T15">
        <v>42766.46</v>
      </c>
      <c r="U15">
        <v>68314.850000000006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0AC4D-7191-4C40-93B6-CEC5EB9CEA16}">
  <sheetPr codeName="Sheet51"/>
  <dimension ref="A1:U15"/>
  <sheetViews>
    <sheetView workbookViewId="0"/>
  </sheetViews>
  <sheetFormatPr defaultRowHeight="15" x14ac:dyDescent="0.25"/>
  <sheetData>
    <row r="1" spans="1:21" x14ac:dyDescent="0.25">
      <c r="A1">
        <v>2017</v>
      </c>
      <c r="B1" t="s">
        <v>1003</v>
      </c>
      <c r="I1">
        <v>2018</v>
      </c>
      <c r="J1" t="s">
        <v>1003</v>
      </c>
      <c r="Q1">
        <v>2019</v>
      </c>
      <c r="R1" t="s">
        <v>1003</v>
      </c>
    </row>
    <row r="2" spans="1:21" x14ac:dyDescent="0.25">
      <c r="A2" t="s">
        <v>0</v>
      </c>
      <c r="B2" t="s">
        <v>1004</v>
      </c>
      <c r="C2" t="s">
        <v>1005</v>
      </c>
      <c r="D2" t="s">
        <v>1006</v>
      </c>
      <c r="E2" t="s">
        <v>13</v>
      </c>
      <c r="I2" t="s">
        <v>0</v>
      </c>
      <c r="J2" t="s">
        <v>1004</v>
      </c>
      <c r="K2" t="s">
        <v>1005</v>
      </c>
      <c r="L2" t="s">
        <v>1006</v>
      </c>
      <c r="M2" t="s">
        <v>13</v>
      </c>
      <c r="Q2" t="s">
        <v>0</v>
      </c>
      <c r="R2" t="s">
        <v>1004</v>
      </c>
      <c r="S2" t="s">
        <v>1005</v>
      </c>
      <c r="T2" t="s">
        <v>1006</v>
      </c>
      <c r="U2" t="s">
        <v>13</v>
      </c>
    </row>
    <row r="3" spans="1:21" x14ac:dyDescent="0.25">
      <c r="A3">
        <v>1</v>
      </c>
      <c r="B3">
        <v>9.8888888888888893</v>
      </c>
      <c r="C3">
        <v>1.1633555555555555</v>
      </c>
      <c r="D3">
        <v>8.4132666666666669</v>
      </c>
      <c r="E3">
        <v>11.052244444444446</v>
      </c>
      <c r="I3">
        <v>1</v>
      </c>
      <c r="J3">
        <v>120.89662222222223</v>
      </c>
      <c r="K3">
        <v>24.8582</v>
      </c>
      <c r="L3">
        <v>70.083933333333334</v>
      </c>
      <c r="M3">
        <v>145.75482222222223</v>
      </c>
      <c r="Q3">
        <v>1</v>
      </c>
      <c r="R3">
        <v>111.36053333333332</v>
      </c>
      <c r="S3">
        <v>40.450244444444444</v>
      </c>
      <c r="T3">
        <v>95.036577777777779</v>
      </c>
      <c r="U3">
        <v>151.81077777777779</v>
      </c>
    </row>
    <row r="4" spans="1:21" x14ac:dyDescent="0.25">
      <c r="A4">
        <v>2</v>
      </c>
      <c r="B4">
        <v>85.842288888888888</v>
      </c>
      <c r="C4">
        <v>23.511866666666666</v>
      </c>
      <c r="D4">
        <v>29.354444444444443</v>
      </c>
      <c r="E4">
        <v>109.35415555555556</v>
      </c>
      <c r="I4">
        <v>2</v>
      </c>
      <c r="J4">
        <v>158.5097111111111</v>
      </c>
      <c r="K4">
        <v>27.44991111111111</v>
      </c>
      <c r="L4">
        <v>105.36957777777778</v>
      </c>
      <c r="M4">
        <v>185.95962222222224</v>
      </c>
      <c r="Q4">
        <v>2</v>
      </c>
      <c r="R4">
        <v>0</v>
      </c>
      <c r="S4">
        <v>0</v>
      </c>
      <c r="T4">
        <v>0</v>
      </c>
      <c r="U4">
        <v>0</v>
      </c>
    </row>
    <row r="5" spans="1:21" x14ac:dyDescent="0.25">
      <c r="A5">
        <v>3</v>
      </c>
      <c r="B5">
        <v>103.3402</v>
      </c>
      <c r="C5">
        <v>41.450600000000001</v>
      </c>
      <c r="D5">
        <v>50.542977777777779</v>
      </c>
      <c r="E5">
        <v>144.79079999999999</v>
      </c>
      <c r="I5">
        <v>3</v>
      </c>
      <c r="J5">
        <v>185.24828888888888</v>
      </c>
      <c r="K5">
        <v>44.325111111111113</v>
      </c>
      <c r="L5">
        <v>135.5994</v>
      </c>
      <c r="M5">
        <v>229.57339999999999</v>
      </c>
      <c r="Q5">
        <v>3</v>
      </c>
      <c r="R5">
        <v>0</v>
      </c>
      <c r="S5">
        <v>0</v>
      </c>
      <c r="T5">
        <v>0</v>
      </c>
      <c r="U5">
        <v>0</v>
      </c>
    </row>
    <row r="6" spans="1:21" x14ac:dyDescent="0.25">
      <c r="A6">
        <v>4</v>
      </c>
      <c r="B6">
        <v>94.70893333333332</v>
      </c>
      <c r="C6">
        <v>39.711466666666666</v>
      </c>
      <c r="D6">
        <v>42.977000000000004</v>
      </c>
      <c r="E6">
        <v>134.4204</v>
      </c>
      <c r="I6">
        <v>4</v>
      </c>
      <c r="J6">
        <v>161.90055555555554</v>
      </c>
      <c r="K6">
        <v>38.013444444444445</v>
      </c>
      <c r="L6">
        <v>81.031844444444445</v>
      </c>
      <c r="M6">
        <v>199.91400000000002</v>
      </c>
      <c r="Q6">
        <v>4</v>
      </c>
      <c r="R6">
        <v>0</v>
      </c>
      <c r="S6">
        <v>0</v>
      </c>
      <c r="T6">
        <v>0</v>
      </c>
      <c r="U6">
        <v>0</v>
      </c>
    </row>
    <row r="7" spans="1:21" x14ac:dyDescent="0.25">
      <c r="A7">
        <v>5</v>
      </c>
      <c r="B7">
        <v>104.61477777777777</v>
      </c>
      <c r="C7">
        <v>37.925866666666664</v>
      </c>
      <c r="D7">
        <v>44.290911111111107</v>
      </c>
      <c r="E7">
        <v>142.54064444444444</v>
      </c>
      <c r="I7">
        <v>5</v>
      </c>
      <c r="J7">
        <v>242.17408888888889</v>
      </c>
      <c r="K7">
        <v>30.855533333333334</v>
      </c>
      <c r="L7">
        <v>179.54617777777779</v>
      </c>
      <c r="M7">
        <v>273.0296222222222</v>
      </c>
      <c r="Q7">
        <v>5</v>
      </c>
      <c r="R7">
        <v>0</v>
      </c>
      <c r="S7">
        <v>0</v>
      </c>
      <c r="T7">
        <v>0</v>
      </c>
      <c r="U7">
        <v>0</v>
      </c>
    </row>
    <row r="8" spans="1:21" x14ac:dyDescent="0.25">
      <c r="A8">
        <v>6</v>
      </c>
      <c r="B8">
        <v>160.02306666666667</v>
      </c>
      <c r="C8">
        <v>52.330422222222218</v>
      </c>
      <c r="D8">
        <v>87.027777777777771</v>
      </c>
      <c r="E8">
        <v>212.3534888888889</v>
      </c>
      <c r="I8">
        <v>6</v>
      </c>
      <c r="J8">
        <v>204.87362222222222</v>
      </c>
      <c r="K8">
        <v>54.814333333333337</v>
      </c>
      <c r="L8">
        <v>114.7248</v>
      </c>
      <c r="M8">
        <v>259.68795555555556</v>
      </c>
      <c r="Q8">
        <v>6</v>
      </c>
      <c r="R8">
        <v>0</v>
      </c>
      <c r="S8">
        <v>0</v>
      </c>
      <c r="T8">
        <v>0</v>
      </c>
      <c r="U8">
        <v>0</v>
      </c>
    </row>
    <row r="9" spans="1:21" x14ac:dyDescent="0.25">
      <c r="A9">
        <v>7</v>
      </c>
      <c r="B9">
        <v>148.6005111111111</v>
      </c>
      <c r="C9">
        <v>53.289755555555551</v>
      </c>
      <c r="D9">
        <v>69.496022222222223</v>
      </c>
      <c r="E9">
        <v>201.89026666666666</v>
      </c>
      <c r="I9">
        <v>7</v>
      </c>
      <c r="J9">
        <v>145.50564444444444</v>
      </c>
      <c r="K9">
        <v>43.88108888888889</v>
      </c>
      <c r="L9">
        <v>103.82031111111111</v>
      </c>
      <c r="M9">
        <v>189.38673333333332</v>
      </c>
      <c r="Q9">
        <v>7</v>
      </c>
      <c r="R9">
        <v>0</v>
      </c>
      <c r="S9">
        <v>0</v>
      </c>
      <c r="T9">
        <v>0</v>
      </c>
      <c r="U9">
        <v>0</v>
      </c>
    </row>
    <row r="10" spans="1:21" x14ac:dyDescent="0.25">
      <c r="A10">
        <v>8</v>
      </c>
      <c r="B10">
        <v>171.53473333333335</v>
      </c>
      <c r="C10">
        <v>48.965244444444444</v>
      </c>
      <c r="D10">
        <v>76.296266666666668</v>
      </c>
      <c r="E10">
        <v>220.49997777777779</v>
      </c>
      <c r="I10">
        <v>8</v>
      </c>
      <c r="J10">
        <v>210.57042222222222</v>
      </c>
      <c r="K10">
        <v>53.234000000000002</v>
      </c>
      <c r="L10">
        <v>117.30126666666666</v>
      </c>
      <c r="M10">
        <v>263.80442222222223</v>
      </c>
      <c r="Q10">
        <v>8</v>
      </c>
      <c r="R10">
        <v>0</v>
      </c>
      <c r="S10">
        <v>0</v>
      </c>
      <c r="T10">
        <v>0</v>
      </c>
      <c r="U10">
        <v>0</v>
      </c>
    </row>
    <row r="11" spans="1:21" x14ac:dyDescent="0.25">
      <c r="A11">
        <v>9</v>
      </c>
      <c r="B11">
        <v>161.53784444444443</v>
      </c>
      <c r="C11">
        <v>40.268155555555552</v>
      </c>
      <c r="D11">
        <v>119.29855555555555</v>
      </c>
      <c r="E11">
        <v>201.80599999999998</v>
      </c>
      <c r="I11">
        <v>9</v>
      </c>
      <c r="J11">
        <v>170.63286666666664</v>
      </c>
      <c r="K11">
        <v>40.167022222222222</v>
      </c>
      <c r="L11">
        <v>109.58697777777778</v>
      </c>
      <c r="M11">
        <v>210.79988888888889</v>
      </c>
      <c r="Q11">
        <v>9</v>
      </c>
      <c r="R11">
        <v>0</v>
      </c>
      <c r="S11">
        <v>0</v>
      </c>
      <c r="T11">
        <v>0</v>
      </c>
      <c r="U11">
        <v>0</v>
      </c>
    </row>
    <row r="12" spans="1:21" x14ac:dyDescent="0.25">
      <c r="A12">
        <v>10</v>
      </c>
      <c r="B12">
        <v>181.69948888888891</v>
      </c>
      <c r="C12">
        <v>53.980511111111113</v>
      </c>
      <c r="D12">
        <v>105.85106666666667</v>
      </c>
      <c r="E12">
        <v>235.68</v>
      </c>
      <c r="I12">
        <v>10</v>
      </c>
      <c r="J12">
        <v>179.15197777777777</v>
      </c>
      <c r="K12">
        <v>47.218822222222222</v>
      </c>
      <c r="L12">
        <v>120.6163111111111</v>
      </c>
      <c r="M12">
        <v>226.3708</v>
      </c>
      <c r="Q12">
        <v>10</v>
      </c>
      <c r="R12">
        <v>0</v>
      </c>
      <c r="S12">
        <v>0</v>
      </c>
      <c r="T12">
        <v>0</v>
      </c>
      <c r="U12">
        <v>0</v>
      </c>
    </row>
    <row r="13" spans="1:21" x14ac:dyDescent="0.25">
      <c r="A13">
        <v>11</v>
      </c>
      <c r="B13">
        <v>205.28024444444443</v>
      </c>
      <c r="C13">
        <v>33.70675555555556</v>
      </c>
      <c r="D13">
        <v>114.06362222222222</v>
      </c>
      <c r="E13">
        <v>238.98699999999999</v>
      </c>
      <c r="I13">
        <v>11</v>
      </c>
      <c r="J13">
        <v>176.74848888888891</v>
      </c>
      <c r="K13">
        <v>54.18888888888889</v>
      </c>
      <c r="L13">
        <v>93.675844444444436</v>
      </c>
      <c r="M13">
        <v>230.93737777777778</v>
      </c>
      <c r="Q13">
        <v>11</v>
      </c>
      <c r="R13">
        <v>0</v>
      </c>
      <c r="S13">
        <v>0</v>
      </c>
      <c r="T13">
        <v>0</v>
      </c>
      <c r="U13">
        <v>0</v>
      </c>
    </row>
    <row r="14" spans="1:21" x14ac:dyDescent="0.25">
      <c r="A14">
        <v>12</v>
      </c>
      <c r="B14">
        <v>226.87568888888887</v>
      </c>
      <c r="C14">
        <v>65.202200000000005</v>
      </c>
      <c r="D14">
        <v>152.5864</v>
      </c>
      <c r="E14">
        <v>292.07788888888888</v>
      </c>
      <c r="I14">
        <v>12</v>
      </c>
      <c r="J14">
        <v>211.81664444444445</v>
      </c>
      <c r="K14">
        <v>86.268444444444455</v>
      </c>
      <c r="L14">
        <v>145.9218888888889</v>
      </c>
      <c r="M14">
        <v>298.08508888888889</v>
      </c>
      <c r="Q14">
        <v>12</v>
      </c>
      <c r="R14">
        <v>0</v>
      </c>
      <c r="S14">
        <v>0</v>
      </c>
      <c r="T14">
        <v>0</v>
      </c>
      <c r="U14">
        <v>0</v>
      </c>
    </row>
    <row r="15" spans="1:21" x14ac:dyDescent="0.25">
      <c r="A15" t="s">
        <v>13</v>
      </c>
      <c r="B15">
        <v>1653.9466666666667</v>
      </c>
      <c r="C15">
        <v>491.50619999999998</v>
      </c>
      <c r="D15">
        <v>900.19831111111114</v>
      </c>
      <c r="E15">
        <v>2145.4528666666665</v>
      </c>
      <c r="I15" t="s">
        <v>13</v>
      </c>
      <c r="J15">
        <v>2168.0289333333335</v>
      </c>
      <c r="K15">
        <v>545.27480000000003</v>
      </c>
      <c r="L15">
        <v>1377.2783333333334</v>
      </c>
      <c r="M15">
        <v>2713.3037333333332</v>
      </c>
      <c r="Q15" t="s">
        <v>13</v>
      </c>
      <c r="R15">
        <v>111.36053333333332</v>
      </c>
      <c r="S15">
        <v>40.450244444444444</v>
      </c>
      <c r="T15">
        <v>95.036577777777779</v>
      </c>
      <c r="U15">
        <v>151.81077777777779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DEA1C-FFA7-4D32-8F22-5BF96DF4B0D3}">
  <sheetPr codeName="Sheet52"/>
  <dimension ref="A1:U15"/>
  <sheetViews>
    <sheetView workbookViewId="0"/>
  </sheetViews>
  <sheetFormatPr defaultRowHeight="15" x14ac:dyDescent="0.25"/>
  <sheetData>
    <row r="1" spans="1:21" x14ac:dyDescent="0.25">
      <c r="A1">
        <v>2017</v>
      </c>
      <c r="B1" t="s">
        <v>1003</v>
      </c>
      <c r="I1">
        <v>2018</v>
      </c>
      <c r="J1" t="s">
        <v>1003</v>
      </c>
      <c r="Q1">
        <v>2019</v>
      </c>
      <c r="R1" t="s">
        <v>1003</v>
      </c>
    </row>
    <row r="2" spans="1:21" x14ac:dyDescent="0.25">
      <c r="A2" t="s">
        <v>0</v>
      </c>
      <c r="B2" t="s">
        <v>1004</v>
      </c>
      <c r="C2" t="s">
        <v>1005</v>
      </c>
      <c r="D2" t="s">
        <v>1006</v>
      </c>
      <c r="E2" t="s">
        <v>13</v>
      </c>
      <c r="I2" t="s">
        <v>0</v>
      </c>
      <c r="J2" t="s">
        <v>1004</v>
      </c>
      <c r="K2" t="s">
        <v>1005</v>
      </c>
      <c r="L2" t="s">
        <v>1006</v>
      </c>
      <c r="M2" t="s">
        <v>13</v>
      </c>
      <c r="Q2" t="s">
        <v>0</v>
      </c>
      <c r="R2" t="s">
        <v>1004</v>
      </c>
      <c r="S2" t="s">
        <v>1005</v>
      </c>
      <c r="T2" t="s">
        <v>1006</v>
      </c>
      <c r="U2" t="s">
        <v>13</v>
      </c>
    </row>
    <row r="3" spans="1:21" x14ac:dyDescent="0.25">
      <c r="A3">
        <v>1</v>
      </c>
      <c r="B3">
        <v>3.4847298355520753</v>
      </c>
      <c r="C3">
        <v>0.40995301487862174</v>
      </c>
      <c r="D3">
        <v>2.9647376664056382</v>
      </c>
      <c r="E3">
        <v>3.894682850430697</v>
      </c>
      <c r="I3">
        <v>1</v>
      </c>
      <c r="J3">
        <v>42.602568519968678</v>
      </c>
      <c r="K3">
        <v>8.7597415818324205</v>
      </c>
      <c r="L3">
        <v>24.696765857478464</v>
      </c>
      <c r="M3">
        <v>51.362310101801093</v>
      </c>
      <c r="Q3">
        <v>1</v>
      </c>
      <c r="R3">
        <v>39.242161315583395</v>
      </c>
      <c r="S3">
        <v>14.254197337509789</v>
      </c>
      <c r="T3">
        <v>33.489788566953798</v>
      </c>
      <c r="U3">
        <v>53.496358653093189</v>
      </c>
    </row>
    <row r="4" spans="1:21" x14ac:dyDescent="0.25">
      <c r="A4">
        <v>2</v>
      </c>
      <c r="B4">
        <v>30.249827721221614</v>
      </c>
      <c r="C4">
        <v>8.2853093187157398</v>
      </c>
      <c r="D4">
        <v>10.344166014095537</v>
      </c>
      <c r="E4">
        <v>38.535137039937354</v>
      </c>
      <c r="I4">
        <v>2</v>
      </c>
      <c r="J4">
        <v>55.85698512137823</v>
      </c>
      <c r="K4">
        <v>9.6730305403288952</v>
      </c>
      <c r="L4">
        <v>37.131018010963196</v>
      </c>
      <c r="M4">
        <v>65.530015661707125</v>
      </c>
      <c r="Q4">
        <v>2</v>
      </c>
      <c r="R4">
        <v>0</v>
      </c>
      <c r="S4">
        <v>0</v>
      </c>
      <c r="T4">
        <v>0</v>
      </c>
      <c r="U4">
        <v>0</v>
      </c>
    </row>
    <row r="5" spans="1:21" x14ac:dyDescent="0.25">
      <c r="A5">
        <v>3</v>
      </c>
      <c r="B5">
        <v>36.415888801879404</v>
      </c>
      <c r="C5">
        <v>14.606711041503525</v>
      </c>
      <c r="D5">
        <v>17.810759592795616</v>
      </c>
      <c r="E5">
        <v>51.022599843382928</v>
      </c>
      <c r="I5">
        <v>3</v>
      </c>
      <c r="J5">
        <v>65.279350039154266</v>
      </c>
      <c r="K5">
        <v>15.619655442443225</v>
      </c>
      <c r="L5">
        <v>47.783657008613943</v>
      </c>
      <c r="M5">
        <v>80.899005481597499</v>
      </c>
      <c r="Q5">
        <v>3</v>
      </c>
      <c r="R5">
        <v>0</v>
      </c>
      <c r="S5">
        <v>0</v>
      </c>
      <c r="T5">
        <v>0</v>
      </c>
      <c r="U5">
        <v>0</v>
      </c>
    </row>
    <row r="6" spans="1:21" x14ac:dyDescent="0.25">
      <c r="A6">
        <v>4</v>
      </c>
      <c r="B6">
        <v>33.37433046202036</v>
      </c>
      <c r="C6">
        <v>13.993860610806578</v>
      </c>
      <c r="D6">
        <v>15.144596711041505</v>
      </c>
      <c r="E6">
        <v>47.368191072826939</v>
      </c>
      <c r="I6">
        <v>4</v>
      </c>
      <c r="J6">
        <v>57.051879404855129</v>
      </c>
      <c r="K6">
        <v>13.395497259201253</v>
      </c>
      <c r="L6">
        <v>28.554682850430698</v>
      </c>
      <c r="M6">
        <v>70.447376664056378</v>
      </c>
      <c r="Q6">
        <v>4</v>
      </c>
      <c r="R6">
        <v>0</v>
      </c>
      <c r="S6">
        <v>0</v>
      </c>
      <c r="T6">
        <v>0</v>
      </c>
      <c r="U6">
        <v>0</v>
      </c>
    </row>
    <row r="7" spans="1:21" x14ac:dyDescent="0.25">
      <c r="A7">
        <v>5</v>
      </c>
      <c r="B7">
        <v>36.865035238841038</v>
      </c>
      <c r="C7">
        <v>13.364635865309319</v>
      </c>
      <c r="D7">
        <v>15.607603758809709</v>
      </c>
      <c r="E7">
        <v>50.229671104150356</v>
      </c>
      <c r="I7">
        <v>5</v>
      </c>
      <c r="J7">
        <v>85.339342208300707</v>
      </c>
      <c r="K7">
        <v>10.873132341425215</v>
      </c>
      <c r="L7">
        <v>63.269992169146434</v>
      </c>
      <c r="M7">
        <v>96.212474549725925</v>
      </c>
      <c r="Q7">
        <v>5</v>
      </c>
      <c r="R7">
        <v>0</v>
      </c>
      <c r="S7">
        <v>0</v>
      </c>
      <c r="T7">
        <v>0</v>
      </c>
      <c r="U7">
        <v>0</v>
      </c>
    </row>
    <row r="8" spans="1:21" x14ac:dyDescent="0.25">
      <c r="A8">
        <v>6</v>
      </c>
      <c r="B8">
        <v>56.390274079874708</v>
      </c>
      <c r="C8">
        <v>18.440634299138605</v>
      </c>
      <c r="D8">
        <v>30.667580266249022</v>
      </c>
      <c r="E8">
        <v>74.830908379013323</v>
      </c>
      <c r="I8">
        <v>6</v>
      </c>
      <c r="J8">
        <v>72.195090054815978</v>
      </c>
      <c r="K8">
        <v>19.315935787000782</v>
      </c>
      <c r="L8">
        <v>40.427689898198906</v>
      </c>
      <c r="M8">
        <v>91.51102584181676</v>
      </c>
      <c r="Q8">
        <v>6</v>
      </c>
      <c r="R8">
        <v>0</v>
      </c>
      <c r="S8">
        <v>0</v>
      </c>
      <c r="T8">
        <v>0</v>
      </c>
      <c r="U8">
        <v>0</v>
      </c>
    </row>
    <row r="9" spans="1:21" x14ac:dyDescent="0.25">
      <c r="A9">
        <v>7</v>
      </c>
      <c r="B9">
        <v>52.365097885669535</v>
      </c>
      <c r="C9">
        <v>18.778692247454973</v>
      </c>
      <c r="D9">
        <v>24.489592795614723</v>
      </c>
      <c r="E9">
        <v>71.143790133124511</v>
      </c>
      <c r="I9">
        <v>7</v>
      </c>
      <c r="J9">
        <v>51.274502740798745</v>
      </c>
      <c r="K9">
        <v>15.463187157400158</v>
      </c>
      <c r="L9">
        <v>36.585074393108847</v>
      </c>
      <c r="M9">
        <v>66.737689898198909</v>
      </c>
      <c r="Q9">
        <v>7</v>
      </c>
      <c r="R9">
        <v>0</v>
      </c>
      <c r="S9">
        <v>0</v>
      </c>
      <c r="T9">
        <v>0</v>
      </c>
      <c r="U9">
        <v>0</v>
      </c>
    </row>
    <row r="10" spans="1:21" x14ac:dyDescent="0.25">
      <c r="A10">
        <v>8</v>
      </c>
      <c r="B10">
        <v>60.446851996867665</v>
      </c>
      <c r="C10">
        <v>17.254784651527018</v>
      </c>
      <c r="D10">
        <v>26.885920125293655</v>
      </c>
      <c r="E10">
        <v>77.701636648394683</v>
      </c>
      <c r="I10">
        <v>8</v>
      </c>
      <c r="J10">
        <v>74.202576350822241</v>
      </c>
      <c r="K10">
        <v>18.759044635865308</v>
      </c>
      <c r="L10">
        <v>41.335606891151137</v>
      </c>
      <c r="M10">
        <v>92.961620986687549</v>
      </c>
      <c r="Q10">
        <v>8</v>
      </c>
      <c r="R10">
        <v>0</v>
      </c>
      <c r="S10">
        <v>0</v>
      </c>
      <c r="T10">
        <v>0</v>
      </c>
      <c r="U10">
        <v>0</v>
      </c>
    </row>
    <row r="11" spans="1:21" x14ac:dyDescent="0.25">
      <c r="A11">
        <v>9</v>
      </c>
      <c r="B11">
        <v>56.924064212999212</v>
      </c>
      <c r="C11">
        <v>14.190031323414251</v>
      </c>
      <c r="D11">
        <v>42.039428347689899</v>
      </c>
      <c r="E11">
        <v>71.114095536413473</v>
      </c>
      <c r="I11">
        <v>9</v>
      </c>
      <c r="J11">
        <v>60.129044635865306</v>
      </c>
      <c r="K11">
        <v>14.154393108848865</v>
      </c>
      <c r="L11">
        <v>38.617180892717307</v>
      </c>
      <c r="M11">
        <v>74.283437744714178</v>
      </c>
      <c r="Q11">
        <v>9</v>
      </c>
      <c r="R11">
        <v>0</v>
      </c>
      <c r="S11">
        <v>0</v>
      </c>
      <c r="T11">
        <v>0</v>
      </c>
      <c r="U11">
        <v>0</v>
      </c>
    </row>
    <row r="12" spans="1:21" x14ac:dyDescent="0.25">
      <c r="A12">
        <v>10</v>
      </c>
      <c r="B12">
        <v>64.028794048551291</v>
      </c>
      <c r="C12">
        <v>19.022106499608459</v>
      </c>
      <c r="D12">
        <v>37.300689115113549</v>
      </c>
      <c r="E12">
        <v>83.050900548159746</v>
      </c>
      <c r="I12">
        <v>10</v>
      </c>
      <c r="J12">
        <v>63.131080657791699</v>
      </c>
      <c r="K12">
        <v>16.639365700861394</v>
      </c>
      <c r="L12">
        <v>42.503790133124511</v>
      </c>
      <c r="M12">
        <v>79.770446358653089</v>
      </c>
      <c r="Q12">
        <v>10</v>
      </c>
      <c r="R12">
        <v>0</v>
      </c>
      <c r="S12">
        <v>0</v>
      </c>
      <c r="T12">
        <v>0</v>
      </c>
      <c r="U12">
        <v>0</v>
      </c>
    </row>
    <row r="13" spans="1:21" x14ac:dyDescent="0.25">
      <c r="A13">
        <v>11</v>
      </c>
      <c r="B13">
        <v>72.338379013312448</v>
      </c>
      <c r="C13">
        <v>11.877870007830854</v>
      </c>
      <c r="D13">
        <v>40.194698512137819</v>
      </c>
      <c r="E13">
        <v>84.216249021143298</v>
      </c>
      <c r="I13">
        <v>11</v>
      </c>
      <c r="J13">
        <v>62.28411902897416</v>
      </c>
      <c r="K13">
        <v>19.09553641346907</v>
      </c>
      <c r="L13">
        <v>33.010281910728267</v>
      </c>
      <c r="M13">
        <v>81.379655442443237</v>
      </c>
      <c r="Q13">
        <v>11</v>
      </c>
      <c r="R13">
        <v>0</v>
      </c>
      <c r="S13">
        <v>0</v>
      </c>
      <c r="T13">
        <v>0</v>
      </c>
      <c r="U13">
        <v>0</v>
      </c>
    </row>
    <row r="14" spans="1:21" x14ac:dyDescent="0.25">
      <c r="A14">
        <v>12</v>
      </c>
      <c r="B14">
        <v>79.948363351605323</v>
      </c>
      <c r="C14">
        <v>22.976499608457324</v>
      </c>
      <c r="D14">
        <v>53.769678935003917</v>
      </c>
      <c r="E14">
        <v>102.92486296006264</v>
      </c>
      <c r="I14">
        <v>12</v>
      </c>
      <c r="J14">
        <v>74.641730618637439</v>
      </c>
      <c r="K14">
        <v>30.400000000000002</v>
      </c>
      <c r="L14">
        <v>51.421182458888026</v>
      </c>
      <c r="M14">
        <v>105.04173061863744</v>
      </c>
      <c r="Q14">
        <v>12</v>
      </c>
      <c r="R14">
        <v>0</v>
      </c>
      <c r="S14">
        <v>0</v>
      </c>
      <c r="T14">
        <v>0</v>
      </c>
      <c r="U14">
        <v>0</v>
      </c>
    </row>
    <row r="15" spans="1:21" x14ac:dyDescent="0.25">
      <c r="A15" t="s">
        <v>13</v>
      </c>
      <c r="B15">
        <v>582.83163664839469</v>
      </c>
      <c r="C15">
        <v>173.20108848864524</v>
      </c>
      <c r="D15">
        <v>317.2194518402506</v>
      </c>
      <c r="E15">
        <v>756.03272513703996</v>
      </c>
      <c r="I15" t="s">
        <v>13</v>
      </c>
      <c r="J15">
        <v>763.98826938136256</v>
      </c>
      <c r="K15">
        <v>192.14851996867662</v>
      </c>
      <c r="L15">
        <v>485.33692247454974</v>
      </c>
      <c r="M15">
        <v>956.13678935003907</v>
      </c>
      <c r="Q15" t="s">
        <v>13</v>
      </c>
      <c r="R15">
        <v>39.242161315583395</v>
      </c>
      <c r="S15">
        <v>14.254197337509789</v>
      </c>
      <c r="T15">
        <v>33.489788566953798</v>
      </c>
      <c r="U15">
        <v>53.496358653093189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A30B-A89E-4767-BFB0-F41A37ACB410}">
  <sheetPr codeName="Sheet53"/>
  <dimension ref="A1:W15"/>
  <sheetViews>
    <sheetView workbookViewId="0"/>
  </sheetViews>
  <sheetFormatPr defaultRowHeight="15" x14ac:dyDescent="0.25"/>
  <sheetData>
    <row r="1" spans="1:23" x14ac:dyDescent="0.25">
      <c r="A1">
        <v>2017</v>
      </c>
      <c r="B1" t="s">
        <v>1007</v>
      </c>
      <c r="I1">
        <v>2018</v>
      </c>
      <c r="J1" t="s">
        <v>1007</v>
      </c>
      <c r="Q1">
        <v>2019</v>
      </c>
      <c r="R1" t="s">
        <v>1007</v>
      </c>
    </row>
    <row r="2" spans="1:23" x14ac:dyDescent="0.25">
      <c r="A2" t="s">
        <v>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13</v>
      </c>
      <c r="I2" t="s">
        <v>0</v>
      </c>
      <c r="J2" t="s">
        <v>21</v>
      </c>
      <c r="K2" t="s">
        <v>22</v>
      </c>
      <c r="L2" t="s">
        <v>23</v>
      </c>
      <c r="M2" t="s">
        <v>24</v>
      </c>
      <c r="N2" t="s">
        <v>25</v>
      </c>
      <c r="O2" t="s">
        <v>13</v>
      </c>
      <c r="Q2" t="s">
        <v>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13</v>
      </c>
    </row>
    <row r="3" spans="1:23" x14ac:dyDescent="0.25">
      <c r="A3">
        <v>1</v>
      </c>
      <c r="B3">
        <v>57</v>
      </c>
      <c r="C3">
        <v>290</v>
      </c>
      <c r="D3">
        <v>167.6</v>
      </c>
      <c r="E3">
        <v>239</v>
      </c>
      <c r="F3">
        <v>0</v>
      </c>
      <c r="G3">
        <v>753.6</v>
      </c>
      <c r="I3">
        <v>1</v>
      </c>
      <c r="J3">
        <v>549</v>
      </c>
      <c r="K3">
        <v>2301.8000000000002</v>
      </c>
      <c r="L3">
        <v>2051.38</v>
      </c>
      <c r="M3">
        <v>2055.29</v>
      </c>
      <c r="N3">
        <v>0</v>
      </c>
      <c r="O3">
        <v>6957.47</v>
      </c>
      <c r="Q3">
        <v>1</v>
      </c>
      <c r="R3">
        <v>408.25</v>
      </c>
      <c r="S3">
        <v>1019.15</v>
      </c>
      <c r="T3">
        <v>1044.32</v>
      </c>
      <c r="U3">
        <v>1341.52</v>
      </c>
      <c r="V3">
        <v>0</v>
      </c>
      <c r="W3">
        <v>3813.2400000000002</v>
      </c>
    </row>
    <row r="4" spans="1:23" x14ac:dyDescent="0.25">
      <c r="A4">
        <v>2</v>
      </c>
      <c r="B4">
        <v>757.35</v>
      </c>
      <c r="C4">
        <v>1489.55</v>
      </c>
      <c r="D4">
        <v>1496.7</v>
      </c>
      <c r="E4">
        <v>1753</v>
      </c>
      <c r="F4">
        <v>0</v>
      </c>
      <c r="G4">
        <v>5496.6</v>
      </c>
      <c r="I4">
        <v>2</v>
      </c>
      <c r="J4">
        <v>645.95000000000005</v>
      </c>
      <c r="K4">
        <v>1440.05</v>
      </c>
      <c r="L4">
        <v>1332.2</v>
      </c>
      <c r="M4">
        <v>1551.77</v>
      </c>
      <c r="N4">
        <v>0</v>
      </c>
      <c r="O4">
        <v>4969.9699999999993</v>
      </c>
      <c r="Q4">
        <v>2</v>
      </c>
      <c r="W4">
        <v>0</v>
      </c>
    </row>
    <row r="5" spans="1:23" x14ac:dyDescent="0.25">
      <c r="A5">
        <v>3</v>
      </c>
      <c r="B5">
        <v>657.32</v>
      </c>
      <c r="C5">
        <v>1660.66</v>
      </c>
      <c r="D5">
        <v>1538.79</v>
      </c>
      <c r="E5">
        <v>1965.19</v>
      </c>
      <c r="F5">
        <v>0</v>
      </c>
      <c r="G5">
        <v>5821.96</v>
      </c>
      <c r="I5">
        <v>3</v>
      </c>
      <c r="J5">
        <v>513.5</v>
      </c>
      <c r="K5">
        <v>2123.5</v>
      </c>
      <c r="L5">
        <v>2037.24</v>
      </c>
      <c r="M5">
        <v>2205.54</v>
      </c>
      <c r="N5">
        <v>0</v>
      </c>
      <c r="O5">
        <v>6879.78</v>
      </c>
      <c r="Q5">
        <v>3</v>
      </c>
      <c r="W5">
        <v>0</v>
      </c>
    </row>
    <row r="6" spans="1:23" x14ac:dyDescent="0.25">
      <c r="A6">
        <v>4</v>
      </c>
      <c r="B6">
        <v>613.45000000000005</v>
      </c>
      <c r="C6">
        <v>1824.2</v>
      </c>
      <c r="D6">
        <v>1771.13</v>
      </c>
      <c r="E6">
        <v>1706</v>
      </c>
      <c r="F6">
        <v>0</v>
      </c>
      <c r="G6">
        <v>5914.7800000000007</v>
      </c>
      <c r="I6">
        <v>4</v>
      </c>
      <c r="J6">
        <v>540.1</v>
      </c>
      <c r="K6">
        <v>1525.9</v>
      </c>
      <c r="L6">
        <v>866.12</v>
      </c>
      <c r="M6">
        <v>1009.4</v>
      </c>
      <c r="N6">
        <v>0</v>
      </c>
      <c r="O6">
        <v>3941.52</v>
      </c>
      <c r="Q6">
        <v>4</v>
      </c>
      <c r="W6">
        <v>0</v>
      </c>
    </row>
    <row r="7" spans="1:23" x14ac:dyDescent="0.25">
      <c r="A7">
        <v>5</v>
      </c>
      <c r="B7">
        <v>330.25</v>
      </c>
      <c r="C7">
        <v>1339.75</v>
      </c>
      <c r="D7">
        <v>871.8</v>
      </c>
      <c r="E7">
        <v>1141.29</v>
      </c>
      <c r="F7">
        <v>0</v>
      </c>
      <c r="G7">
        <v>3683.09</v>
      </c>
      <c r="I7">
        <v>5</v>
      </c>
      <c r="J7">
        <v>511.96</v>
      </c>
      <c r="K7">
        <v>2124.04</v>
      </c>
      <c r="L7">
        <v>1473.44</v>
      </c>
      <c r="M7">
        <v>1229.3800000000001</v>
      </c>
      <c r="N7">
        <v>0</v>
      </c>
      <c r="O7">
        <v>5338.8200000000006</v>
      </c>
      <c r="Q7">
        <v>5</v>
      </c>
      <c r="W7">
        <v>0</v>
      </c>
    </row>
    <row r="8" spans="1:23" x14ac:dyDescent="0.25">
      <c r="A8">
        <v>6</v>
      </c>
      <c r="B8">
        <v>1334.25</v>
      </c>
      <c r="C8">
        <v>2920</v>
      </c>
      <c r="D8">
        <v>2314.2399999999998</v>
      </c>
      <c r="E8">
        <v>2740.98</v>
      </c>
      <c r="F8">
        <v>0</v>
      </c>
      <c r="G8">
        <v>9309.4699999999993</v>
      </c>
      <c r="I8">
        <v>6</v>
      </c>
      <c r="J8">
        <v>1309.3499999999999</v>
      </c>
      <c r="K8">
        <v>2299.4499999999998</v>
      </c>
      <c r="L8">
        <v>1519.4</v>
      </c>
      <c r="M8">
        <v>1999.06</v>
      </c>
      <c r="N8">
        <v>0</v>
      </c>
      <c r="O8">
        <v>7127.26</v>
      </c>
      <c r="Q8">
        <v>6</v>
      </c>
      <c r="W8">
        <v>0</v>
      </c>
    </row>
    <row r="9" spans="1:23" x14ac:dyDescent="0.25">
      <c r="A9">
        <v>7</v>
      </c>
      <c r="B9">
        <v>2609.5</v>
      </c>
      <c r="C9">
        <v>3574.5</v>
      </c>
      <c r="D9">
        <v>2341.79</v>
      </c>
      <c r="E9">
        <v>3814.39</v>
      </c>
      <c r="F9">
        <v>0</v>
      </c>
      <c r="G9">
        <v>12340.18</v>
      </c>
      <c r="I9">
        <v>7</v>
      </c>
      <c r="J9">
        <v>2256.1</v>
      </c>
      <c r="K9">
        <v>5889.45</v>
      </c>
      <c r="L9">
        <v>5169.7</v>
      </c>
      <c r="M9">
        <v>5728.81</v>
      </c>
      <c r="N9">
        <v>0</v>
      </c>
      <c r="O9">
        <v>19044.060000000001</v>
      </c>
      <c r="Q9">
        <v>7</v>
      </c>
      <c r="W9">
        <v>0</v>
      </c>
    </row>
    <row r="10" spans="1:23" x14ac:dyDescent="0.25">
      <c r="A10">
        <v>8</v>
      </c>
      <c r="B10">
        <v>818.65</v>
      </c>
      <c r="C10">
        <v>4153.45</v>
      </c>
      <c r="D10">
        <v>3522.15</v>
      </c>
      <c r="E10">
        <v>3635.77</v>
      </c>
      <c r="F10">
        <v>0</v>
      </c>
      <c r="G10">
        <v>12130.02</v>
      </c>
      <c r="I10">
        <v>8</v>
      </c>
      <c r="J10">
        <v>1229.5</v>
      </c>
      <c r="K10">
        <v>4881</v>
      </c>
      <c r="L10">
        <v>4295.8999999999996</v>
      </c>
      <c r="M10">
        <v>4369.1099999999997</v>
      </c>
      <c r="N10">
        <v>0</v>
      </c>
      <c r="O10">
        <v>14775.509999999998</v>
      </c>
      <c r="Q10">
        <v>8</v>
      </c>
      <c r="W10">
        <v>0</v>
      </c>
    </row>
    <row r="11" spans="1:23" x14ac:dyDescent="0.25">
      <c r="A11">
        <v>9</v>
      </c>
      <c r="B11">
        <v>538.29999999999995</v>
      </c>
      <c r="C11">
        <v>1444.14</v>
      </c>
      <c r="D11">
        <v>1229.19</v>
      </c>
      <c r="E11">
        <v>1302.3</v>
      </c>
      <c r="F11">
        <v>0</v>
      </c>
      <c r="G11">
        <v>4513.93</v>
      </c>
      <c r="I11">
        <v>9</v>
      </c>
      <c r="J11">
        <v>730.5</v>
      </c>
      <c r="K11">
        <v>1174.25</v>
      </c>
      <c r="L11">
        <v>953.48</v>
      </c>
      <c r="M11">
        <v>891.9</v>
      </c>
      <c r="N11">
        <v>0</v>
      </c>
      <c r="O11">
        <v>3750.13</v>
      </c>
      <c r="Q11">
        <v>9</v>
      </c>
      <c r="W11">
        <v>0</v>
      </c>
    </row>
    <row r="12" spans="1:23" x14ac:dyDescent="0.25">
      <c r="A12">
        <v>10</v>
      </c>
      <c r="B12">
        <v>909.81</v>
      </c>
      <c r="C12">
        <v>2243.66</v>
      </c>
      <c r="D12">
        <v>1721.04</v>
      </c>
      <c r="E12">
        <v>1584.27</v>
      </c>
      <c r="F12">
        <v>0</v>
      </c>
      <c r="G12">
        <v>6458.7800000000007</v>
      </c>
      <c r="I12">
        <v>10</v>
      </c>
      <c r="J12">
        <v>1111.25</v>
      </c>
      <c r="K12">
        <v>1480.25</v>
      </c>
      <c r="L12">
        <v>1427.63</v>
      </c>
      <c r="M12">
        <v>1515</v>
      </c>
      <c r="N12">
        <v>0</v>
      </c>
      <c r="O12">
        <v>5534.13</v>
      </c>
      <c r="Q12">
        <v>10</v>
      </c>
      <c r="W12">
        <v>0</v>
      </c>
    </row>
    <row r="13" spans="1:23" x14ac:dyDescent="0.25">
      <c r="A13">
        <v>11</v>
      </c>
      <c r="B13">
        <v>1017.25</v>
      </c>
      <c r="C13">
        <v>1736.55</v>
      </c>
      <c r="D13">
        <v>1642.79</v>
      </c>
      <c r="E13">
        <v>1660</v>
      </c>
      <c r="F13">
        <v>0</v>
      </c>
      <c r="G13">
        <v>6056.59</v>
      </c>
      <c r="I13">
        <v>11</v>
      </c>
      <c r="J13">
        <v>512.5</v>
      </c>
      <c r="K13">
        <v>2283.5</v>
      </c>
      <c r="L13">
        <v>2211.37</v>
      </c>
      <c r="M13">
        <v>2427.44</v>
      </c>
      <c r="N13">
        <v>0</v>
      </c>
      <c r="O13">
        <v>7434.8099999999995</v>
      </c>
      <c r="Q13">
        <v>11</v>
      </c>
      <c r="W13">
        <v>0</v>
      </c>
    </row>
    <row r="14" spans="1:23" x14ac:dyDescent="0.25">
      <c r="A14">
        <v>12</v>
      </c>
      <c r="B14">
        <v>923.55</v>
      </c>
      <c r="C14">
        <v>2032.95</v>
      </c>
      <c r="D14">
        <v>2176.69</v>
      </c>
      <c r="E14">
        <v>2517.5</v>
      </c>
      <c r="F14">
        <v>0</v>
      </c>
      <c r="G14">
        <v>7650.6900000000005</v>
      </c>
      <c r="I14">
        <v>12</v>
      </c>
      <c r="J14">
        <v>558.20000000000005</v>
      </c>
      <c r="K14">
        <v>2323.8000000000002</v>
      </c>
      <c r="L14">
        <v>2191.37</v>
      </c>
      <c r="M14">
        <v>2753.8</v>
      </c>
      <c r="N14">
        <v>0</v>
      </c>
      <c r="O14">
        <v>7827.17</v>
      </c>
      <c r="Q14">
        <v>12</v>
      </c>
      <c r="W14">
        <v>0</v>
      </c>
    </row>
    <row r="15" spans="1:23" x14ac:dyDescent="0.25">
      <c r="A15" t="s">
        <v>13</v>
      </c>
      <c r="B15">
        <v>10566.679999999998</v>
      </c>
      <c r="C15">
        <v>24709.41</v>
      </c>
      <c r="D15">
        <v>20793.91</v>
      </c>
      <c r="E15">
        <v>24059.69</v>
      </c>
      <c r="F15">
        <v>0</v>
      </c>
      <c r="G15">
        <v>80129.69</v>
      </c>
      <c r="I15" t="s">
        <v>13</v>
      </c>
      <c r="J15">
        <v>10467.91</v>
      </c>
      <c r="K15">
        <v>29846.99</v>
      </c>
      <c r="L15">
        <v>25529.229999999996</v>
      </c>
      <c r="M15">
        <v>27736.5</v>
      </c>
      <c r="N15">
        <v>0</v>
      </c>
      <c r="O15">
        <v>93580.63</v>
      </c>
      <c r="Q15" t="s">
        <v>13</v>
      </c>
      <c r="R15">
        <v>408.25</v>
      </c>
      <c r="S15">
        <v>1019.15</v>
      </c>
      <c r="T15">
        <v>1044.32</v>
      </c>
      <c r="U15">
        <v>1341.52</v>
      </c>
      <c r="V15">
        <v>0</v>
      </c>
      <c r="W15">
        <v>3813.2400000000002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A60B4-958A-4BBC-9FF4-C87AE954C178}">
  <sheetPr codeName="Sheet54"/>
  <dimension ref="A1:W15"/>
  <sheetViews>
    <sheetView workbookViewId="0"/>
  </sheetViews>
  <sheetFormatPr defaultRowHeight="15" x14ac:dyDescent="0.25"/>
  <sheetData>
    <row r="1" spans="1:23" x14ac:dyDescent="0.25">
      <c r="A1">
        <v>2017</v>
      </c>
      <c r="B1" t="s">
        <v>1007</v>
      </c>
      <c r="I1">
        <v>2018</v>
      </c>
      <c r="J1" t="s">
        <v>1007</v>
      </c>
      <c r="Q1">
        <v>2019</v>
      </c>
      <c r="R1" t="s">
        <v>1007</v>
      </c>
    </row>
    <row r="2" spans="1:23" x14ac:dyDescent="0.25">
      <c r="A2" t="s">
        <v>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13</v>
      </c>
      <c r="I2" t="s">
        <v>0</v>
      </c>
      <c r="J2" t="s">
        <v>21</v>
      </c>
      <c r="K2" t="s">
        <v>22</v>
      </c>
      <c r="L2" t="s">
        <v>23</v>
      </c>
      <c r="M2" t="s">
        <v>24</v>
      </c>
      <c r="N2" t="s">
        <v>25</v>
      </c>
      <c r="O2" t="s">
        <v>13</v>
      </c>
      <c r="Q2" t="s">
        <v>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13</v>
      </c>
    </row>
    <row r="3" spans="1:23" x14ac:dyDescent="0.25">
      <c r="A3">
        <v>1</v>
      </c>
      <c r="B3">
        <v>1</v>
      </c>
      <c r="C3">
        <v>5</v>
      </c>
      <c r="D3">
        <v>2</v>
      </c>
      <c r="E3">
        <v>2</v>
      </c>
      <c r="F3">
        <v>0</v>
      </c>
      <c r="G3">
        <v>10</v>
      </c>
      <c r="I3">
        <v>1</v>
      </c>
      <c r="J3">
        <v>9</v>
      </c>
      <c r="K3">
        <v>37</v>
      </c>
      <c r="L3">
        <v>26</v>
      </c>
      <c r="M3">
        <v>25</v>
      </c>
      <c r="N3">
        <v>0</v>
      </c>
      <c r="O3">
        <v>97</v>
      </c>
      <c r="Q3">
        <v>1</v>
      </c>
      <c r="R3">
        <v>4</v>
      </c>
      <c r="S3">
        <v>18</v>
      </c>
      <c r="T3">
        <v>13</v>
      </c>
      <c r="U3">
        <v>15</v>
      </c>
      <c r="V3">
        <v>0</v>
      </c>
      <c r="W3">
        <v>50</v>
      </c>
    </row>
    <row r="4" spans="1:23" x14ac:dyDescent="0.25">
      <c r="A4">
        <v>2</v>
      </c>
      <c r="B4">
        <v>8</v>
      </c>
      <c r="C4">
        <v>25</v>
      </c>
      <c r="D4">
        <v>18</v>
      </c>
      <c r="E4">
        <v>18</v>
      </c>
      <c r="F4">
        <v>0</v>
      </c>
      <c r="G4">
        <v>69</v>
      </c>
      <c r="I4">
        <v>2</v>
      </c>
      <c r="J4">
        <v>7</v>
      </c>
      <c r="K4">
        <v>28</v>
      </c>
      <c r="L4">
        <v>19</v>
      </c>
      <c r="M4">
        <v>23</v>
      </c>
      <c r="N4">
        <v>0</v>
      </c>
      <c r="O4">
        <v>77</v>
      </c>
      <c r="Q4">
        <v>2</v>
      </c>
      <c r="W4">
        <v>0</v>
      </c>
    </row>
    <row r="5" spans="1:23" x14ac:dyDescent="0.25">
      <c r="A5">
        <v>3</v>
      </c>
      <c r="B5">
        <v>8</v>
      </c>
      <c r="C5">
        <v>28</v>
      </c>
      <c r="D5">
        <v>20</v>
      </c>
      <c r="E5">
        <v>24</v>
      </c>
      <c r="F5">
        <v>0</v>
      </c>
      <c r="G5">
        <v>80</v>
      </c>
      <c r="I5">
        <v>3</v>
      </c>
      <c r="J5">
        <v>5</v>
      </c>
      <c r="K5">
        <v>42</v>
      </c>
      <c r="L5">
        <v>28</v>
      </c>
      <c r="M5">
        <v>30</v>
      </c>
      <c r="N5">
        <v>0</v>
      </c>
      <c r="O5">
        <v>105</v>
      </c>
      <c r="Q5">
        <v>3</v>
      </c>
      <c r="W5">
        <v>0</v>
      </c>
    </row>
    <row r="6" spans="1:23" x14ac:dyDescent="0.25">
      <c r="A6">
        <v>4</v>
      </c>
      <c r="B6">
        <v>9</v>
      </c>
      <c r="C6">
        <v>30</v>
      </c>
      <c r="D6">
        <v>22</v>
      </c>
      <c r="E6">
        <v>23</v>
      </c>
      <c r="F6">
        <v>0</v>
      </c>
      <c r="G6">
        <v>84</v>
      </c>
      <c r="I6">
        <v>4</v>
      </c>
      <c r="J6">
        <v>6</v>
      </c>
      <c r="K6">
        <v>26</v>
      </c>
      <c r="L6">
        <v>12</v>
      </c>
      <c r="M6">
        <v>15</v>
      </c>
      <c r="N6">
        <v>0</v>
      </c>
      <c r="O6">
        <v>59</v>
      </c>
      <c r="Q6">
        <v>4</v>
      </c>
      <c r="W6">
        <v>0</v>
      </c>
    </row>
    <row r="7" spans="1:23" x14ac:dyDescent="0.25">
      <c r="A7">
        <v>5</v>
      </c>
      <c r="B7">
        <v>4</v>
      </c>
      <c r="C7">
        <v>23</v>
      </c>
      <c r="D7">
        <v>10</v>
      </c>
      <c r="E7">
        <v>14</v>
      </c>
      <c r="F7">
        <v>0</v>
      </c>
      <c r="G7">
        <v>51</v>
      </c>
      <c r="I7">
        <v>5</v>
      </c>
      <c r="J7">
        <v>10</v>
      </c>
      <c r="K7">
        <v>33</v>
      </c>
      <c r="L7">
        <v>17</v>
      </c>
      <c r="M7">
        <v>18</v>
      </c>
      <c r="N7">
        <v>0</v>
      </c>
      <c r="O7">
        <v>78</v>
      </c>
      <c r="Q7">
        <v>5</v>
      </c>
      <c r="W7">
        <v>0</v>
      </c>
    </row>
    <row r="8" spans="1:23" x14ac:dyDescent="0.25">
      <c r="A8">
        <v>6</v>
      </c>
      <c r="B8">
        <v>16</v>
      </c>
      <c r="C8">
        <v>47</v>
      </c>
      <c r="D8">
        <v>27</v>
      </c>
      <c r="E8">
        <v>31</v>
      </c>
      <c r="F8">
        <v>0</v>
      </c>
      <c r="G8">
        <v>121</v>
      </c>
      <c r="I8">
        <v>6</v>
      </c>
      <c r="J8">
        <v>14</v>
      </c>
      <c r="K8">
        <v>39</v>
      </c>
      <c r="L8">
        <v>20</v>
      </c>
      <c r="M8">
        <v>25</v>
      </c>
      <c r="N8">
        <v>0</v>
      </c>
      <c r="O8">
        <v>98</v>
      </c>
      <c r="Q8">
        <v>6</v>
      </c>
      <c r="W8">
        <v>0</v>
      </c>
    </row>
    <row r="9" spans="1:23" x14ac:dyDescent="0.25">
      <c r="A9">
        <v>7</v>
      </c>
      <c r="B9">
        <v>21</v>
      </c>
      <c r="C9">
        <v>64</v>
      </c>
      <c r="D9">
        <v>38</v>
      </c>
      <c r="E9">
        <v>42</v>
      </c>
      <c r="F9">
        <v>0</v>
      </c>
      <c r="G9">
        <v>165</v>
      </c>
      <c r="I9">
        <v>7</v>
      </c>
      <c r="J9">
        <v>27</v>
      </c>
      <c r="K9">
        <v>93</v>
      </c>
      <c r="L9">
        <v>62</v>
      </c>
      <c r="M9">
        <v>63</v>
      </c>
      <c r="N9">
        <v>0</v>
      </c>
      <c r="O9">
        <v>245</v>
      </c>
      <c r="Q9">
        <v>7</v>
      </c>
      <c r="W9">
        <v>0</v>
      </c>
    </row>
    <row r="10" spans="1:23" x14ac:dyDescent="0.25">
      <c r="A10">
        <v>8</v>
      </c>
      <c r="B10">
        <v>11</v>
      </c>
      <c r="C10">
        <v>73</v>
      </c>
      <c r="D10">
        <v>44</v>
      </c>
      <c r="E10">
        <v>48</v>
      </c>
      <c r="F10">
        <v>0</v>
      </c>
      <c r="G10">
        <v>176</v>
      </c>
      <c r="I10">
        <v>8</v>
      </c>
      <c r="J10">
        <v>18</v>
      </c>
      <c r="K10">
        <v>78</v>
      </c>
      <c r="L10">
        <v>52</v>
      </c>
      <c r="M10">
        <v>53</v>
      </c>
      <c r="N10">
        <v>0</v>
      </c>
      <c r="O10">
        <v>201</v>
      </c>
      <c r="Q10">
        <v>8</v>
      </c>
      <c r="W10">
        <v>0</v>
      </c>
    </row>
    <row r="11" spans="1:23" x14ac:dyDescent="0.25">
      <c r="A11">
        <v>9</v>
      </c>
      <c r="B11">
        <v>7</v>
      </c>
      <c r="C11">
        <v>22</v>
      </c>
      <c r="D11">
        <v>15</v>
      </c>
      <c r="E11">
        <v>15</v>
      </c>
      <c r="F11">
        <v>0</v>
      </c>
      <c r="G11">
        <v>59</v>
      </c>
      <c r="I11">
        <v>9</v>
      </c>
      <c r="J11">
        <v>9</v>
      </c>
      <c r="K11">
        <v>19</v>
      </c>
      <c r="L11">
        <v>12</v>
      </c>
      <c r="M11">
        <v>13</v>
      </c>
      <c r="N11">
        <v>0</v>
      </c>
      <c r="O11">
        <v>53</v>
      </c>
      <c r="Q11">
        <v>9</v>
      </c>
      <c r="W11">
        <v>0</v>
      </c>
    </row>
    <row r="12" spans="1:23" x14ac:dyDescent="0.25">
      <c r="A12">
        <v>10</v>
      </c>
      <c r="B12">
        <v>13</v>
      </c>
      <c r="C12">
        <v>39</v>
      </c>
      <c r="D12">
        <v>21</v>
      </c>
      <c r="E12">
        <v>21</v>
      </c>
      <c r="F12">
        <v>0</v>
      </c>
      <c r="G12">
        <v>94</v>
      </c>
      <c r="I12">
        <v>10</v>
      </c>
      <c r="J12">
        <v>12</v>
      </c>
      <c r="K12">
        <v>24</v>
      </c>
      <c r="L12">
        <v>17</v>
      </c>
      <c r="M12">
        <v>18</v>
      </c>
      <c r="N12">
        <v>0</v>
      </c>
      <c r="O12">
        <v>71</v>
      </c>
      <c r="Q12">
        <v>10</v>
      </c>
      <c r="W12">
        <v>0</v>
      </c>
    </row>
    <row r="13" spans="1:23" x14ac:dyDescent="0.25">
      <c r="A13">
        <v>11</v>
      </c>
      <c r="B13">
        <v>11</v>
      </c>
      <c r="C13">
        <v>31</v>
      </c>
      <c r="D13">
        <v>22</v>
      </c>
      <c r="E13">
        <v>22</v>
      </c>
      <c r="F13">
        <v>0</v>
      </c>
      <c r="G13">
        <v>86</v>
      </c>
      <c r="I13">
        <v>11</v>
      </c>
      <c r="J13">
        <v>7</v>
      </c>
      <c r="K13">
        <v>41</v>
      </c>
      <c r="L13">
        <v>31</v>
      </c>
      <c r="M13">
        <v>33</v>
      </c>
      <c r="N13">
        <v>0</v>
      </c>
      <c r="O13">
        <v>112</v>
      </c>
      <c r="Q13">
        <v>11</v>
      </c>
      <c r="W13">
        <v>0</v>
      </c>
    </row>
    <row r="14" spans="1:23" x14ac:dyDescent="0.25">
      <c r="A14">
        <v>12</v>
      </c>
      <c r="B14">
        <v>10</v>
      </c>
      <c r="C14">
        <v>35</v>
      </c>
      <c r="D14">
        <v>26</v>
      </c>
      <c r="E14">
        <v>27</v>
      </c>
      <c r="F14">
        <v>0</v>
      </c>
      <c r="G14">
        <v>98</v>
      </c>
      <c r="I14">
        <v>12</v>
      </c>
      <c r="J14">
        <v>7</v>
      </c>
      <c r="K14">
        <v>39</v>
      </c>
      <c r="L14">
        <v>27</v>
      </c>
      <c r="M14">
        <v>32</v>
      </c>
      <c r="N14">
        <v>0</v>
      </c>
      <c r="O14">
        <v>105</v>
      </c>
      <c r="Q14">
        <v>12</v>
      </c>
      <c r="W14">
        <v>0</v>
      </c>
    </row>
    <row r="15" spans="1:23" x14ac:dyDescent="0.25">
      <c r="A15" t="s">
        <v>13</v>
      </c>
      <c r="B15">
        <v>119</v>
      </c>
      <c r="C15">
        <v>422</v>
      </c>
      <c r="D15">
        <v>265</v>
      </c>
      <c r="E15">
        <v>287</v>
      </c>
      <c r="F15">
        <v>0</v>
      </c>
      <c r="G15">
        <v>1093</v>
      </c>
      <c r="I15" t="s">
        <v>13</v>
      </c>
      <c r="J15">
        <v>131</v>
      </c>
      <c r="K15">
        <v>499</v>
      </c>
      <c r="L15">
        <v>323</v>
      </c>
      <c r="M15">
        <v>348</v>
      </c>
      <c r="N15">
        <v>0</v>
      </c>
      <c r="O15">
        <v>1301</v>
      </c>
      <c r="Q15" t="s">
        <v>13</v>
      </c>
      <c r="R15">
        <v>4</v>
      </c>
      <c r="S15">
        <v>18</v>
      </c>
      <c r="T15">
        <v>13</v>
      </c>
      <c r="U15">
        <v>15</v>
      </c>
      <c r="V15">
        <v>0</v>
      </c>
      <c r="W15">
        <v>50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EAC03-6B8E-4DDF-8C4E-6EAD9486504E}">
  <sheetPr codeName="Sheet55"/>
  <dimension ref="A1:W15"/>
  <sheetViews>
    <sheetView workbookViewId="0"/>
  </sheetViews>
  <sheetFormatPr defaultRowHeight="15" x14ac:dyDescent="0.25"/>
  <sheetData>
    <row r="1" spans="1:23" x14ac:dyDescent="0.25">
      <c r="A1">
        <v>2017</v>
      </c>
      <c r="B1" t="s">
        <v>1007</v>
      </c>
      <c r="I1">
        <v>2018</v>
      </c>
      <c r="J1" t="s">
        <v>1007</v>
      </c>
      <c r="Q1">
        <v>2019</v>
      </c>
      <c r="R1" t="s">
        <v>1007</v>
      </c>
    </row>
    <row r="2" spans="1:23" x14ac:dyDescent="0.25">
      <c r="A2" t="s">
        <v>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13</v>
      </c>
      <c r="I2" t="s">
        <v>0</v>
      </c>
      <c r="J2" t="s">
        <v>21</v>
      </c>
      <c r="K2" t="s">
        <v>22</v>
      </c>
      <c r="L2" t="s">
        <v>23</v>
      </c>
      <c r="M2" t="s">
        <v>24</v>
      </c>
      <c r="N2" t="s">
        <v>25</v>
      </c>
      <c r="O2" t="s">
        <v>13</v>
      </c>
      <c r="Q2" t="s">
        <v>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13</v>
      </c>
    </row>
    <row r="3" spans="1:23" x14ac:dyDescent="0.25">
      <c r="A3">
        <v>1</v>
      </c>
      <c r="B3">
        <v>9.6446700507614211E-2</v>
      </c>
      <c r="C3">
        <v>0.4906937394247039</v>
      </c>
      <c r="D3">
        <v>0.28358714043993233</v>
      </c>
      <c r="E3">
        <v>0.40439932318104904</v>
      </c>
      <c r="F3">
        <v>0</v>
      </c>
      <c r="G3">
        <v>1.2751269035532995</v>
      </c>
      <c r="I3">
        <v>1</v>
      </c>
      <c r="J3">
        <v>0.92893401015228427</v>
      </c>
      <c r="K3">
        <v>3.8947546531302879</v>
      </c>
      <c r="L3">
        <v>3.4710321489001692</v>
      </c>
      <c r="M3">
        <v>3.4776480541455159</v>
      </c>
      <c r="N3">
        <v>0</v>
      </c>
      <c r="O3">
        <v>11.772368866328257</v>
      </c>
      <c r="Q3">
        <v>1</v>
      </c>
      <c r="R3">
        <v>0.69077834179357023</v>
      </c>
      <c r="S3">
        <v>1.7244500846023689</v>
      </c>
      <c r="T3">
        <v>1.7670389170896783</v>
      </c>
      <c r="U3">
        <v>2.2699153976311335</v>
      </c>
      <c r="V3">
        <v>0</v>
      </c>
      <c r="W3">
        <v>6.4521827411167516</v>
      </c>
    </row>
    <row r="4" spans="1:23" x14ac:dyDescent="0.25">
      <c r="A4">
        <v>2</v>
      </c>
      <c r="B4">
        <v>1.2814720812182741</v>
      </c>
      <c r="C4">
        <v>2.5203891708967849</v>
      </c>
      <c r="D4">
        <v>2.5324873096446701</v>
      </c>
      <c r="E4">
        <v>2.9661590524534689</v>
      </c>
      <c r="F4">
        <v>0</v>
      </c>
      <c r="G4">
        <v>9.300507614213199</v>
      </c>
      <c r="I4">
        <v>2</v>
      </c>
      <c r="J4">
        <v>1.0929780033840948</v>
      </c>
      <c r="K4">
        <v>2.4366328257191201</v>
      </c>
      <c r="L4">
        <v>2.2541455160744501</v>
      </c>
      <c r="M4">
        <v>2.6256683587140439</v>
      </c>
      <c r="N4">
        <v>0</v>
      </c>
      <c r="O4">
        <v>8.4094247038917072</v>
      </c>
      <c r="Q4">
        <v>2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25">
      <c r="A5">
        <v>3</v>
      </c>
      <c r="B5">
        <v>1.112216582064298</v>
      </c>
      <c r="C5">
        <v>2.809915397631134</v>
      </c>
      <c r="D5">
        <v>2.6037055837563452</v>
      </c>
      <c r="E5">
        <v>3.3251945854483926</v>
      </c>
      <c r="F5">
        <v>0</v>
      </c>
      <c r="G5">
        <v>9.8510321489001687</v>
      </c>
      <c r="I5">
        <v>3</v>
      </c>
      <c r="J5">
        <v>0.86886632825719123</v>
      </c>
      <c r="K5">
        <v>3.5930626057529609</v>
      </c>
      <c r="L5">
        <v>3.4471065989847718</v>
      </c>
      <c r="M5">
        <v>3.7318781725888326</v>
      </c>
      <c r="N5">
        <v>0</v>
      </c>
      <c r="O5">
        <v>11.640913705583756</v>
      </c>
      <c r="Q5">
        <v>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25">
      <c r="A6">
        <v>4</v>
      </c>
      <c r="B6">
        <v>1.0379864636209815</v>
      </c>
      <c r="C6">
        <v>3.08663282571912</v>
      </c>
      <c r="D6">
        <v>2.9968358714043997</v>
      </c>
      <c r="E6">
        <v>2.8866328257191203</v>
      </c>
      <c r="F6">
        <v>0</v>
      </c>
      <c r="G6">
        <v>10.008087986463622</v>
      </c>
      <c r="I6">
        <v>4</v>
      </c>
      <c r="J6">
        <v>0.91387478849407788</v>
      </c>
      <c r="K6">
        <v>2.5818950930626059</v>
      </c>
      <c r="L6">
        <v>1.4655160744500846</v>
      </c>
      <c r="M6">
        <v>1.7079526226734347</v>
      </c>
      <c r="N6">
        <v>0</v>
      </c>
      <c r="O6">
        <v>6.6692385786802033</v>
      </c>
      <c r="Q6">
        <v>4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5">
      <c r="A7">
        <v>5</v>
      </c>
      <c r="B7">
        <v>0.55879864636209808</v>
      </c>
      <c r="C7">
        <v>2.2669204737732658</v>
      </c>
      <c r="D7">
        <v>1.4751269035532995</v>
      </c>
      <c r="E7">
        <v>1.9311167512690355</v>
      </c>
      <c r="F7">
        <v>0</v>
      </c>
      <c r="G7">
        <v>6.2319627749576991</v>
      </c>
      <c r="I7">
        <v>5</v>
      </c>
      <c r="J7">
        <v>0.86626057529610823</v>
      </c>
      <c r="K7">
        <v>3.5939763113367174</v>
      </c>
      <c r="L7">
        <v>2.4931302876480541</v>
      </c>
      <c r="M7">
        <v>2.0801692047377327</v>
      </c>
      <c r="N7">
        <v>0</v>
      </c>
      <c r="O7">
        <v>9.0335363790186136</v>
      </c>
      <c r="Q7">
        <v>5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5">
      <c r="A8">
        <v>6</v>
      </c>
      <c r="B8">
        <v>2.2576142131979697</v>
      </c>
      <c r="C8">
        <v>4.9407783417935702</v>
      </c>
      <c r="D8">
        <v>3.9158037225042297</v>
      </c>
      <c r="E8">
        <v>4.6378680203045688</v>
      </c>
      <c r="F8">
        <v>0</v>
      </c>
      <c r="G8">
        <v>15.752064297800338</v>
      </c>
      <c r="I8">
        <v>6</v>
      </c>
      <c r="J8">
        <v>2.2154822335025379</v>
      </c>
      <c r="K8">
        <v>3.89077834179357</v>
      </c>
      <c r="L8">
        <v>2.5708967851099831</v>
      </c>
      <c r="M8">
        <v>3.3825042301184434</v>
      </c>
      <c r="N8">
        <v>0</v>
      </c>
      <c r="O8">
        <v>12.059661590524534</v>
      </c>
      <c r="Q8">
        <v>6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5">
      <c r="A9">
        <v>7</v>
      </c>
      <c r="B9">
        <v>4.415397631133672</v>
      </c>
      <c r="C9">
        <v>6.0482233502538074</v>
      </c>
      <c r="D9">
        <v>3.9624196277495769</v>
      </c>
      <c r="E9">
        <v>6.4541285956006762</v>
      </c>
      <c r="F9">
        <v>0</v>
      </c>
      <c r="G9">
        <v>20.880169204737733</v>
      </c>
      <c r="I9">
        <v>7</v>
      </c>
      <c r="J9">
        <v>3.8174280879864635</v>
      </c>
      <c r="K9">
        <v>9.9652284263959388</v>
      </c>
      <c r="L9">
        <v>8.7473773265651431</v>
      </c>
      <c r="M9">
        <v>9.6934179357022003</v>
      </c>
      <c r="N9">
        <v>0</v>
      </c>
      <c r="O9">
        <v>32.223451776649746</v>
      </c>
      <c r="Q9">
        <v>7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5">
      <c r="A10">
        <v>8</v>
      </c>
      <c r="B10">
        <v>1.3851945854483925</v>
      </c>
      <c r="C10">
        <v>7.027834179357022</v>
      </c>
      <c r="D10">
        <v>5.9596446700507615</v>
      </c>
      <c r="E10">
        <v>6.1518950930626053</v>
      </c>
      <c r="F10">
        <v>0</v>
      </c>
      <c r="G10">
        <v>20.524568527918781</v>
      </c>
      <c r="I10">
        <v>8</v>
      </c>
      <c r="J10">
        <v>2.0803722504230118</v>
      </c>
      <c r="K10">
        <v>8.2588832487309638</v>
      </c>
      <c r="L10">
        <v>7.2688663282571904</v>
      </c>
      <c r="M10">
        <v>7.3927411167512682</v>
      </c>
      <c r="N10">
        <v>0</v>
      </c>
      <c r="O10">
        <v>25.000862944162435</v>
      </c>
      <c r="Q10">
        <v>8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5">
      <c r="A11">
        <v>9</v>
      </c>
      <c r="B11">
        <v>0.91082910321488997</v>
      </c>
      <c r="C11">
        <v>2.4435532994923861</v>
      </c>
      <c r="D11">
        <v>2.0798477157360407</v>
      </c>
      <c r="E11">
        <v>2.2035532994923859</v>
      </c>
      <c r="F11">
        <v>0</v>
      </c>
      <c r="G11">
        <v>7.6377834179357027</v>
      </c>
      <c r="I11">
        <v>9</v>
      </c>
      <c r="J11">
        <v>1.2360406091370559</v>
      </c>
      <c r="K11">
        <v>1.9868866328257191</v>
      </c>
      <c r="L11">
        <v>1.6133333333333333</v>
      </c>
      <c r="M11">
        <v>1.5091370558375634</v>
      </c>
      <c r="N11">
        <v>0</v>
      </c>
      <c r="O11">
        <v>6.3453976311336717</v>
      </c>
      <c r="Q11">
        <v>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>
        <v>10</v>
      </c>
      <c r="B12">
        <v>1.539441624365482</v>
      </c>
      <c r="C12">
        <v>3.7963790186125208</v>
      </c>
      <c r="D12">
        <v>2.9120812182741118</v>
      </c>
      <c r="E12">
        <v>2.6806598984771575</v>
      </c>
      <c r="F12">
        <v>0</v>
      </c>
      <c r="G12">
        <v>10.928561759729273</v>
      </c>
      <c r="I12">
        <v>10</v>
      </c>
      <c r="J12">
        <v>1.8802876480541455</v>
      </c>
      <c r="K12">
        <v>2.504653130287648</v>
      </c>
      <c r="L12">
        <v>2.4156175972927243</v>
      </c>
      <c r="M12">
        <v>2.563451776649746</v>
      </c>
      <c r="N12">
        <v>0</v>
      </c>
      <c r="O12">
        <v>9.3640101522842638</v>
      </c>
      <c r="Q12">
        <v>10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5">
      <c r="A13">
        <v>11</v>
      </c>
      <c r="B13">
        <v>1.7212351945854485</v>
      </c>
      <c r="C13">
        <v>2.9383248730964464</v>
      </c>
      <c r="D13">
        <v>2.7796785109983078</v>
      </c>
      <c r="E13">
        <v>2.808798646362098</v>
      </c>
      <c r="F13">
        <v>0</v>
      </c>
      <c r="G13">
        <v>10.248037225042301</v>
      </c>
      <c r="I13">
        <v>11</v>
      </c>
      <c r="J13">
        <v>0.86717428087986459</v>
      </c>
      <c r="K13">
        <v>3.8637901861252115</v>
      </c>
      <c r="L13">
        <v>3.7417428087986462</v>
      </c>
      <c r="M13">
        <v>4.107343485617597</v>
      </c>
      <c r="N13">
        <v>0</v>
      </c>
      <c r="O13">
        <v>12.580050761421319</v>
      </c>
      <c r="Q13">
        <v>11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5">
      <c r="A14">
        <v>12</v>
      </c>
      <c r="B14">
        <v>1.5626903553299492</v>
      </c>
      <c r="C14">
        <v>3.4398477157360405</v>
      </c>
      <c r="D14">
        <v>3.6830626057529612</v>
      </c>
      <c r="E14">
        <v>4.2597292724196274</v>
      </c>
      <c r="F14">
        <v>0</v>
      </c>
      <c r="G14">
        <v>12.94532994923858</v>
      </c>
      <c r="I14">
        <v>12</v>
      </c>
      <c r="J14">
        <v>0.94450084602368878</v>
      </c>
      <c r="K14">
        <v>3.9319796954314725</v>
      </c>
      <c r="L14">
        <v>3.7079018612521151</v>
      </c>
      <c r="M14">
        <v>4.6595600676818956</v>
      </c>
      <c r="N14">
        <v>0</v>
      </c>
      <c r="O14">
        <v>13.243942470389172</v>
      </c>
      <c r="Q14">
        <v>12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25">
      <c r="A15" t="s">
        <v>13</v>
      </c>
      <c r="B15">
        <v>17.879323181049067</v>
      </c>
      <c r="C15">
        <v>41.809492385786804</v>
      </c>
      <c r="D15">
        <v>35.184280879864637</v>
      </c>
      <c r="E15">
        <v>40.710135363790187</v>
      </c>
      <c r="F15">
        <v>0</v>
      </c>
      <c r="G15">
        <v>135.5832318104907</v>
      </c>
      <c r="I15" t="s">
        <v>13</v>
      </c>
      <c r="J15">
        <v>17.712199661590525</v>
      </c>
      <c r="K15">
        <v>50.502521150592216</v>
      </c>
      <c r="L15">
        <v>43.196666666666658</v>
      </c>
      <c r="M15">
        <v>46.931472081218274</v>
      </c>
      <c r="N15">
        <v>0</v>
      </c>
      <c r="O15">
        <v>158.34285956006769</v>
      </c>
      <c r="Q15" t="s">
        <v>13</v>
      </c>
      <c r="R15">
        <v>0.69077834179357023</v>
      </c>
      <c r="S15">
        <v>1.7244500846023689</v>
      </c>
      <c r="T15">
        <v>1.7670389170896783</v>
      </c>
      <c r="U15">
        <v>2.2699153976311335</v>
      </c>
      <c r="V15">
        <v>0</v>
      </c>
      <c r="W15">
        <v>6.4521827411167516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00713-AB8B-4BB0-B99D-922EFACE1E66}">
  <sheetPr codeName="Sheet56"/>
  <dimension ref="A1:W15"/>
  <sheetViews>
    <sheetView workbookViewId="0"/>
  </sheetViews>
  <sheetFormatPr defaultRowHeight="15" x14ac:dyDescent="0.25"/>
  <sheetData>
    <row r="1" spans="1:23" x14ac:dyDescent="0.25">
      <c r="A1">
        <v>2017</v>
      </c>
      <c r="B1" t="s">
        <v>1007</v>
      </c>
      <c r="I1">
        <v>2018</v>
      </c>
      <c r="J1" t="s">
        <v>1007</v>
      </c>
      <c r="Q1">
        <v>2019</v>
      </c>
      <c r="R1" t="s">
        <v>1007</v>
      </c>
    </row>
    <row r="2" spans="1:23" x14ac:dyDescent="0.25">
      <c r="A2" t="s">
        <v>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13</v>
      </c>
      <c r="I2" t="s">
        <v>0</v>
      </c>
      <c r="J2" t="s">
        <v>21</v>
      </c>
      <c r="K2" t="s">
        <v>22</v>
      </c>
      <c r="L2" t="s">
        <v>23</v>
      </c>
      <c r="M2" t="s">
        <v>24</v>
      </c>
      <c r="N2" t="s">
        <v>25</v>
      </c>
      <c r="O2" t="s">
        <v>13</v>
      </c>
      <c r="Q2" t="s">
        <v>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13</v>
      </c>
    </row>
    <row r="3" spans="1:23" x14ac:dyDescent="0.25">
      <c r="A3">
        <v>1</v>
      </c>
      <c r="B3">
        <v>3.708523096942095E-2</v>
      </c>
      <c r="C3">
        <v>0.18867924528301888</v>
      </c>
      <c r="D3">
        <v>0.10904359141184125</v>
      </c>
      <c r="E3">
        <v>0.15549772283669486</v>
      </c>
      <c r="F3">
        <v>0</v>
      </c>
      <c r="G3">
        <v>0.49030579050097595</v>
      </c>
      <c r="I3">
        <v>1</v>
      </c>
      <c r="J3">
        <v>0.35718932986337021</v>
      </c>
      <c r="K3">
        <v>1.4975927130774236</v>
      </c>
      <c r="L3">
        <v>1.3346649316851009</v>
      </c>
      <c r="M3">
        <v>1.3372088484059856</v>
      </c>
      <c r="N3">
        <v>0</v>
      </c>
      <c r="O3">
        <v>4.5266558230318807</v>
      </c>
      <c r="Q3">
        <v>1</v>
      </c>
      <c r="R3">
        <v>0.26561483409238779</v>
      </c>
      <c r="S3">
        <v>0.66307742355237476</v>
      </c>
      <c r="T3">
        <v>0.67945348080676637</v>
      </c>
      <c r="U3">
        <v>0.87281717631750166</v>
      </c>
      <c r="V3">
        <v>0</v>
      </c>
      <c r="W3">
        <v>2.4809629147690306</v>
      </c>
    </row>
    <row r="4" spans="1:23" x14ac:dyDescent="0.25">
      <c r="A4">
        <v>2</v>
      </c>
      <c r="B4">
        <v>0.49274560832791153</v>
      </c>
      <c r="C4">
        <v>0.96912817176317501</v>
      </c>
      <c r="D4">
        <v>0.97378009108653218</v>
      </c>
      <c r="E4">
        <v>1.1405335068314899</v>
      </c>
      <c r="F4">
        <v>0</v>
      </c>
      <c r="G4">
        <v>3.5761873780091089</v>
      </c>
      <c r="I4">
        <v>2</v>
      </c>
      <c r="J4">
        <v>0.42026675341574499</v>
      </c>
      <c r="K4">
        <v>0.93692257644762522</v>
      </c>
      <c r="L4">
        <v>0.86675341574495779</v>
      </c>
      <c r="M4">
        <v>1.0096096291476904</v>
      </c>
      <c r="N4">
        <v>0</v>
      </c>
      <c r="O4">
        <v>3.2335523747560178</v>
      </c>
      <c r="Q4">
        <v>2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25">
      <c r="A5">
        <v>3</v>
      </c>
      <c r="B5">
        <v>0.42766428106701371</v>
      </c>
      <c r="C5">
        <v>1.0804554326610281</v>
      </c>
      <c r="D5">
        <v>1.0011646063760573</v>
      </c>
      <c r="E5">
        <v>1.2785881587508132</v>
      </c>
      <c r="F5">
        <v>0</v>
      </c>
      <c r="G5">
        <v>3.7878724788549123</v>
      </c>
      <c r="I5">
        <v>3</v>
      </c>
      <c r="J5">
        <v>0.33409238776837996</v>
      </c>
      <c r="K5">
        <v>1.381587508132726</v>
      </c>
      <c r="L5">
        <v>1.3254651919323357</v>
      </c>
      <c r="M5">
        <v>1.434964216005205</v>
      </c>
      <c r="N5">
        <v>0</v>
      </c>
      <c r="O5">
        <v>4.4761093038386468</v>
      </c>
      <c r="Q5">
        <v>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25">
      <c r="A6">
        <v>4</v>
      </c>
      <c r="B6">
        <v>0.39912166558230322</v>
      </c>
      <c r="C6">
        <v>1.1868575146389071</v>
      </c>
      <c r="D6">
        <v>1.1523292127521145</v>
      </c>
      <c r="E6">
        <v>1.1099544567338973</v>
      </c>
      <c r="F6">
        <v>0</v>
      </c>
      <c r="G6">
        <v>3.8482628497072224</v>
      </c>
      <c r="I6">
        <v>4</v>
      </c>
      <c r="J6">
        <v>0.35139882888744306</v>
      </c>
      <c r="K6">
        <v>0.99277813923227076</v>
      </c>
      <c r="L6">
        <v>0.56351333767078726</v>
      </c>
      <c r="M6">
        <v>0.65673389720234221</v>
      </c>
      <c r="N6">
        <v>0</v>
      </c>
      <c r="O6">
        <v>2.5644242029928432</v>
      </c>
      <c r="Q6">
        <v>4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5">
      <c r="A7">
        <v>5</v>
      </c>
      <c r="B7">
        <v>0.21486662329212752</v>
      </c>
      <c r="C7">
        <v>0.87166558230318802</v>
      </c>
      <c r="D7">
        <v>0.56720884840598562</v>
      </c>
      <c r="E7">
        <v>0.74254391672088482</v>
      </c>
      <c r="F7">
        <v>0</v>
      </c>
      <c r="G7">
        <v>2.3962849707221863</v>
      </c>
      <c r="I7">
        <v>5</v>
      </c>
      <c r="J7">
        <v>0.33309043591411841</v>
      </c>
      <c r="K7">
        <v>1.3819388418998049</v>
      </c>
      <c r="L7">
        <v>0.95864671437865978</v>
      </c>
      <c r="M7">
        <v>0.7998568640208199</v>
      </c>
      <c r="N7">
        <v>0</v>
      </c>
      <c r="O7">
        <v>3.4735328562134034</v>
      </c>
      <c r="Q7">
        <v>5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5">
      <c r="A8">
        <v>6</v>
      </c>
      <c r="B8">
        <v>0.86808718282368247</v>
      </c>
      <c r="C8">
        <v>1.8998048145738451</v>
      </c>
      <c r="D8">
        <v>1.5056864020819778</v>
      </c>
      <c r="E8">
        <v>1.7833311646063761</v>
      </c>
      <c r="F8">
        <v>0</v>
      </c>
      <c r="G8">
        <v>6.0569095640858812</v>
      </c>
      <c r="I8">
        <v>6</v>
      </c>
      <c r="J8">
        <v>0.85188679245283017</v>
      </c>
      <c r="K8">
        <v>1.4960637605725438</v>
      </c>
      <c r="L8">
        <v>0.9885491216655824</v>
      </c>
      <c r="M8">
        <v>1.3006245933636955</v>
      </c>
      <c r="N8">
        <v>0</v>
      </c>
      <c r="O8">
        <v>4.6371242680546523</v>
      </c>
      <c r="Q8">
        <v>6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5">
      <c r="A9">
        <v>7</v>
      </c>
      <c r="B9">
        <v>1.6977878985035784</v>
      </c>
      <c r="C9">
        <v>2.3256343526350034</v>
      </c>
      <c r="D9">
        <v>1.5236109303838647</v>
      </c>
      <c r="E9">
        <v>2.4817111255692907</v>
      </c>
      <c r="F9">
        <v>0</v>
      </c>
      <c r="G9">
        <v>8.0287443070917366</v>
      </c>
      <c r="I9">
        <v>7</v>
      </c>
      <c r="J9">
        <v>1.4678594664931683</v>
      </c>
      <c r="K9">
        <v>3.831782693558881</v>
      </c>
      <c r="L9">
        <v>3.3635003253090434</v>
      </c>
      <c r="M9">
        <v>3.7272674040338325</v>
      </c>
      <c r="N9">
        <v>0</v>
      </c>
      <c r="O9">
        <v>12.390409889394926</v>
      </c>
      <c r="Q9">
        <v>7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5">
      <c r="A10">
        <v>8</v>
      </c>
      <c r="B10">
        <v>0.5326284970722186</v>
      </c>
      <c r="C10">
        <v>2.7023096942094988</v>
      </c>
      <c r="D10">
        <v>2.2915744957709827</v>
      </c>
      <c r="E10">
        <v>2.3654977228366949</v>
      </c>
      <c r="F10">
        <v>0</v>
      </c>
      <c r="G10">
        <v>7.8920104098893953</v>
      </c>
      <c r="I10">
        <v>8</v>
      </c>
      <c r="J10">
        <v>0.7999349381912817</v>
      </c>
      <c r="K10">
        <v>3.1756668835393622</v>
      </c>
      <c r="L10">
        <v>2.794990240728692</v>
      </c>
      <c r="M10">
        <v>2.8426219908913466</v>
      </c>
      <c r="N10">
        <v>0</v>
      </c>
      <c r="O10">
        <v>9.6132140533506814</v>
      </c>
      <c r="Q10">
        <v>8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5">
      <c r="A11">
        <v>9</v>
      </c>
      <c r="B11">
        <v>0.35022771633051397</v>
      </c>
      <c r="C11">
        <v>0.93958360442420308</v>
      </c>
      <c r="D11">
        <v>0.79973324658425504</v>
      </c>
      <c r="E11">
        <v>0.84729993493819122</v>
      </c>
      <c r="F11">
        <v>0</v>
      </c>
      <c r="G11">
        <v>2.9368445022771636</v>
      </c>
      <c r="I11">
        <v>9</v>
      </c>
      <c r="J11">
        <v>0.47527651268705268</v>
      </c>
      <c r="K11">
        <v>0.76398828887443071</v>
      </c>
      <c r="L11">
        <v>0.62035133376707874</v>
      </c>
      <c r="M11">
        <v>0.58028627195836047</v>
      </c>
      <c r="N11">
        <v>0</v>
      </c>
      <c r="O11">
        <v>2.4399024072869224</v>
      </c>
      <c r="Q11">
        <v>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>
        <v>10</v>
      </c>
      <c r="B12">
        <v>0.59193884189980472</v>
      </c>
      <c r="C12">
        <v>1.4597657774886141</v>
      </c>
      <c r="D12">
        <v>1.1197397527651269</v>
      </c>
      <c r="E12">
        <v>1.030754716981132</v>
      </c>
      <c r="F12">
        <v>0</v>
      </c>
      <c r="G12">
        <v>4.2021990891346785</v>
      </c>
      <c r="I12">
        <v>10</v>
      </c>
      <c r="J12">
        <v>0.72299934938191279</v>
      </c>
      <c r="K12">
        <v>0.9630774235523748</v>
      </c>
      <c r="L12">
        <v>0.92884189980481469</v>
      </c>
      <c r="M12">
        <v>0.98568640208197789</v>
      </c>
      <c r="N12">
        <v>0</v>
      </c>
      <c r="O12">
        <v>3.6006050748210803</v>
      </c>
      <c r="Q12">
        <v>10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5">
      <c r="A13">
        <v>11</v>
      </c>
      <c r="B13">
        <v>0.66184124918672738</v>
      </c>
      <c r="C13">
        <v>1.1298308392973324</v>
      </c>
      <c r="D13">
        <v>1.0688288874430709</v>
      </c>
      <c r="E13">
        <v>1.0800260247234874</v>
      </c>
      <c r="F13">
        <v>0</v>
      </c>
      <c r="G13">
        <v>3.9405270006506181</v>
      </c>
      <c r="I13">
        <v>11</v>
      </c>
      <c r="J13">
        <v>0.33344176968119715</v>
      </c>
      <c r="K13">
        <v>1.4856864020819778</v>
      </c>
      <c r="L13">
        <v>1.4387573194534808</v>
      </c>
      <c r="M13">
        <v>1.5793363695510736</v>
      </c>
      <c r="N13">
        <v>0</v>
      </c>
      <c r="O13">
        <v>4.8372218607677286</v>
      </c>
      <c r="Q13">
        <v>11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5">
      <c r="A14">
        <v>12</v>
      </c>
      <c r="B14">
        <v>0.60087833441769678</v>
      </c>
      <c r="C14">
        <v>1.3226740403383215</v>
      </c>
      <c r="D14">
        <v>1.4161938841899806</v>
      </c>
      <c r="E14">
        <v>1.6379310344827587</v>
      </c>
      <c r="F14">
        <v>0</v>
      </c>
      <c r="G14">
        <v>4.9776772934287576</v>
      </c>
      <c r="I14">
        <v>12</v>
      </c>
      <c r="J14">
        <v>0.36317501626545223</v>
      </c>
      <c r="K14">
        <v>1.5119063109954458</v>
      </c>
      <c r="L14">
        <v>1.4257449577098242</v>
      </c>
      <c r="M14">
        <v>1.79167208848406</v>
      </c>
      <c r="N14">
        <v>0</v>
      </c>
      <c r="O14">
        <v>5.0924983734547817</v>
      </c>
      <c r="Q14">
        <v>12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25">
      <c r="A15" t="s">
        <v>13</v>
      </c>
      <c r="B15">
        <v>6.8748731294729986</v>
      </c>
      <c r="C15">
        <v>16.076389069616134</v>
      </c>
      <c r="D15">
        <v>13.528893949251788</v>
      </c>
      <c r="E15">
        <v>15.65366948601171</v>
      </c>
      <c r="F15">
        <v>0</v>
      </c>
      <c r="G15">
        <v>52.13382563435264</v>
      </c>
      <c r="I15" t="s">
        <v>13</v>
      </c>
      <c r="J15">
        <v>6.8106115810019521</v>
      </c>
      <c r="K15">
        <v>19.418991541964868</v>
      </c>
      <c r="L15">
        <v>16.609778789850356</v>
      </c>
      <c r="M15">
        <v>18.04586857514639</v>
      </c>
      <c r="N15">
        <v>0</v>
      </c>
      <c r="O15">
        <v>60.885250487963567</v>
      </c>
      <c r="Q15" t="s">
        <v>13</v>
      </c>
      <c r="R15">
        <v>0.26561483409238779</v>
      </c>
      <c r="S15">
        <v>0.66307742355237476</v>
      </c>
      <c r="T15">
        <v>0.67945348080676637</v>
      </c>
      <c r="U15">
        <v>0.87281717631750166</v>
      </c>
      <c r="V15">
        <v>0</v>
      </c>
      <c r="W15">
        <v>2.4809629147690306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F8334-9299-4ED3-8AA0-34B18BE1F3FB}">
  <sheetPr codeName="Sheet57"/>
  <dimension ref="A1:W15"/>
  <sheetViews>
    <sheetView workbookViewId="0"/>
  </sheetViews>
  <sheetFormatPr defaultRowHeight="15" x14ac:dyDescent="0.25"/>
  <sheetData>
    <row r="1" spans="1:23" x14ac:dyDescent="0.25">
      <c r="A1">
        <v>2017</v>
      </c>
      <c r="B1" t="s">
        <v>1007</v>
      </c>
      <c r="I1">
        <v>2018</v>
      </c>
      <c r="J1" t="s">
        <v>1007</v>
      </c>
      <c r="Q1">
        <v>2019</v>
      </c>
      <c r="R1" t="s">
        <v>1007</v>
      </c>
    </row>
    <row r="2" spans="1:23" x14ac:dyDescent="0.25">
      <c r="A2" t="s">
        <v>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13</v>
      </c>
      <c r="I2" t="s">
        <v>0</v>
      </c>
      <c r="J2" t="s">
        <v>21</v>
      </c>
      <c r="K2" t="s">
        <v>22</v>
      </c>
      <c r="L2" t="s">
        <v>23</v>
      </c>
      <c r="M2" t="s">
        <v>24</v>
      </c>
      <c r="N2" t="s">
        <v>25</v>
      </c>
      <c r="O2" t="s">
        <v>13</v>
      </c>
      <c r="Q2" t="s">
        <v>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13</v>
      </c>
    </row>
    <row r="3" spans="1:23" x14ac:dyDescent="0.25">
      <c r="A3">
        <v>1</v>
      </c>
      <c r="B3">
        <v>57</v>
      </c>
      <c r="C3">
        <v>58</v>
      </c>
      <c r="D3">
        <v>83.8</v>
      </c>
      <c r="E3">
        <v>119.5</v>
      </c>
      <c r="F3">
        <v>0</v>
      </c>
      <c r="G3">
        <v>75.36</v>
      </c>
      <c r="I3">
        <v>1</v>
      </c>
      <c r="J3">
        <v>61</v>
      </c>
      <c r="K3">
        <v>62.210810810810813</v>
      </c>
      <c r="L3">
        <v>78.899230769230769</v>
      </c>
      <c r="M3">
        <v>82.211600000000004</v>
      </c>
      <c r="N3">
        <v>0</v>
      </c>
      <c r="O3">
        <v>71.726494845360833</v>
      </c>
      <c r="Q3">
        <v>1</v>
      </c>
      <c r="R3">
        <v>102.0625</v>
      </c>
      <c r="S3">
        <v>56.61944444444444</v>
      </c>
      <c r="T3">
        <v>80.332307692307694</v>
      </c>
      <c r="U3">
        <v>89.434666666666672</v>
      </c>
      <c r="V3">
        <v>0</v>
      </c>
      <c r="W3">
        <v>76.264800000000008</v>
      </c>
    </row>
    <row r="4" spans="1:23" x14ac:dyDescent="0.25">
      <c r="A4">
        <v>2</v>
      </c>
      <c r="B4">
        <v>94.668750000000003</v>
      </c>
      <c r="C4">
        <v>59.582000000000001</v>
      </c>
      <c r="D4">
        <v>83.15</v>
      </c>
      <c r="E4">
        <v>97.388888888888886</v>
      </c>
      <c r="F4">
        <v>0</v>
      </c>
      <c r="G4">
        <v>79.660869565217396</v>
      </c>
      <c r="I4">
        <v>2</v>
      </c>
      <c r="J4">
        <v>92.278571428571439</v>
      </c>
      <c r="K4">
        <v>51.43035714285714</v>
      </c>
      <c r="L4">
        <v>70.115789473684217</v>
      </c>
      <c r="M4">
        <v>67.468260869565214</v>
      </c>
      <c r="N4">
        <v>0</v>
      </c>
      <c r="O4">
        <v>64.545064935064929</v>
      </c>
      <c r="Q4">
        <v>2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25">
      <c r="A5">
        <v>3</v>
      </c>
      <c r="B5">
        <v>82.165000000000006</v>
      </c>
      <c r="C5">
        <v>59.309285714285714</v>
      </c>
      <c r="D5">
        <v>76.939499999999995</v>
      </c>
      <c r="E5">
        <v>81.882916666666674</v>
      </c>
      <c r="F5">
        <v>0</v>
      </c>
      <c r="G5">
        <v>72.774500000000003</v>
      </c>
      <c r="I5">
        <v>3</v>
      </c>
      <c r="J5">
        <v>102.7</v>
      </c>
      <c r="K5">
        <v>50.55952380952381</v>
      </c>
      <c r="L5">
        <v>72.758571428571429</v>
      </c>
      <c r="M5">
        <v>73.518000000000001</v>
      </c>
      <c r="N5">
        <v>0</v>
      </c>
      <c r="O5">
        <v>65.521714285714282</v>
      </c>
      <c r="Q5">
        <v>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25">
      <c r="A6">
        <v>4</v>
      </c>
      <c r="B6">
        <v>68.161111111111111</v>
      </c>
      <c r="C6">
        <v>60.806666666666665</v>
      </c>
      <c r="D6">
        <v>80.5059090909091</v>
      </c>
      <c r="E6">
        <v>74.173913043478265</v>
      </c>
      <c r="F6">
        <v>0</v>
      </c>
      <c r="G6">
        <v>70.414047619047622</v>
      </c>
      <c r="I6">
        <v>4</v>
      </c>
      <c r="J6">
        <v>90.016666666666666</v>
      </c>
      <c r="K6">
        <v>58.688461538461539</v>
      </c>
      <c r="L6">
        <v>72.176666666666662</v>
      </c>
      <c r="M6">
        <v>67.293333333333337</v>
      </c>
      <c r="N6">
        <v>0</v>
      </c>
      <c r="O6">
        <v>66.805423728813565</v>
      </c>
      <c r="Q6">
        <v>4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5">
      <c r="A7">
        <v>5</v>
      </c>
      <c r="B7">
        <v>82.5625</v>
      </c>
      <c r="C7">
        <v>58.25</v>
      </c>
      <c r="D7">
        <v>87.179999999999993</v>
      </c>
      <c r="E7">
        <v>81.520714285714277</v>
      </c>
      <c r="F7">
        <v>0</v>
      </c>
      <c r="G7">
        <v>72.217450980392158</v>
      </c>
      <c r="I7">
        <v>5</v>
      </c>
      <c r="J7">
        <v>51.195999999999998</v>
      </c>
      <c r="K7">
        <v>64.36484848484848</v>
      </c>
      <c r="L7">
        <v>86.672941176470587</v>
      </c>
      <c r="M7">
        <v>68.298888888888897</v>
      </c>
      <c r="N7">
        <v>0</v>
      </c>
      <c r="O7">
        <v>68.44641025641026</v>
      </c>
      <c r="Q7">
        <v>5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5">
      <c r="A8">
        <v>6</v>
      </c>
      <c r="B8">
        <v>83.390625</v>
      </c>
      <c r="C8">
        <v>62.127659574468083</v>
      </c>
      <c r="D8">
        <v>85.712592592592586</v>
      </c>
      <c r="E8">
        <v>88.418709677419358</v>
      </c>
      <c r="F8">
        <v>0</v>
      </c>
      <c r="G8">
        <v>76.937768595041319</v>
      </c>
      <c r="I8">
        <v>6</v>
      </c>
      <c r="J8">
        <v>93.524999999999991</v>
      </c>
      <c r="K8">
        <v>58.960256410256406</v>
      </c>
      <c r="L8">
        <v>75.97</v>
      </c>
      <c r="M8">
        <v>79.962400000000002</v>
      </c>
      <c r="N8">
        <v>0</v>
      </c>
      <c r="O8">
        <v>72.727142857142866</v>
      </c>
      <c r="Q8">
        <v>6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5">
      <c r="A9">
        <v>7</v>
      </c>
      <c r="B9">
        <v>124.26190476190476</v>
      </c>
      <c r="C9">
        <v>55.8515625</v>
      </c>
      <c r="D9">
        <v>61.626052631578943</v>
      </c>
      <c r="E9">
        <v>90.81880952380952</v>
      </c>
      <c r="F9">
        <v>0</v>
      </c>
      <c r="G9">
        <v>74.788969696969701</v>
      </c>
      <c r="I9">
        <v>7</v>
      </c>
      <c r="J9">
        <v>83.55925925925925</v>
      </c>
      <c r="K9">
        <v>63.32741935483871</v>
      </c>
      <c r="L9">
        <v>83.382258064516122</v>
      </c>
      <c r="M9">
        <v>90.933492063492068</v>
      </c>
      <c r="N9">
        <v>0</v>
      </c>
      <c r="O9">
        <v>77.730857142857147</v>
      </c>
      <c r="Q9">
        <v>7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5">
      <c r="A10">
        <v>8</v>
      </c>
      <c r="B10">
        <v>74.422727272727272</v>
      </c>
      <c r="C10">
        <v>56.896575342465752</v>
      </c>
      <c r="D10">
        <v>80.048863636363635</v>
      </c>
      <c r="E10">
        <v>75.745208333333338</v>
      </c>
      <c r="F10">
        <v>0</v>
      </c>
      <c r="G10">
        <v>68.920568181818183</v>
      </c>
      <c r="I10">
        <v>8</v>
      </c>
      <c r="J10">
        <v>68.305555555555557</v>
      </c>
      <c r="K10">
        <v>62.57692307692308</v>
      </c>
      <c r="L10">
        <v>82.613461538461536</v>
      </c>
      <c r="M10">
        <v>82.436037735849055</v>
      </c>
      <c r="N10">
        <v>0</v>
      </c>
      <c r="O10">
        <v>73.509999999999991</v>
      </c>
      <c r="Q10">
        <v>8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5">
      <c r="A11">
        <v>9</v>
      </c>
      <c r="B11">
        <v>76.899999999999991</v>
      </c>
      <c r="C11">
        <v>65.642727272727271</v>
      </c>
      <c r="D11">
        <v>81.945999999999998</v>
      </c>
      <c r="E11">
        <v>86.82</v>
      </c>
      <c r="F11">
        <v>0</v>
      </c>
      <c r="G11">
        <v>76.507288135593228</v>
      </c>
      <c r="I11">
        <v>9</v>
      </c>
      <c r="J11">
        <v>81.166666666666671</v>
      </c>
      <c r="K11">
        <v>61.80263157894737</v>
      </c>
      <c r="L11">
        <v>79.456666666666663</v>
      </c>
      <c r="M11">
        <v>68.607692307692304</v>
      </c>
      <c r="N11">
        <v>0</v>
      </c>
      <c r="O11">
        <v>70.75716981132075</v>
      </c>
      <c r="Q11">
        <v>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>
        <v>10</v>
      </c>
      <c r="B12">
        <v>69.985384615384618</v>
      </c>
      <c r="C12">
        <v>57.529743589743589</v>
      </c>
      <c r="D12">
        <v>81.954285714285717</v>
      </c>
      <c r="E12">
        <v>75.441428571428574</v>
      </c>
      <c r="F12">
        <v>0</v>
      </c>
      <c r="G12">
        <v>68.710425531914908</v>
      </c>
      <c r="I12">
        <v>10</v>
      </c>
      <c r="J12">
        <v>92.604166666666671</v>
      </c>
      <c r="K12">
        <v>61.677083333333336</v>
      </c>
      <c r="L12">
        <v>83.978235294117653</v>
      </c>
      <c r="M12">
        <v>84.166666666666671</v>
      </c>
      <c r="N12">
        <v>0</v>
      </c>
      <c r="O12">
        <v>77.945492957746481</v>
      </c>
      <c r="Q12">
        <v>10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5">
      <c r="A13">
        <v>11</v>
      </c>
      <c r="B13">
        <v>92.477272727272734</v>
      </c>
      <c r="C13">
        <v>56.017741935483869</v>
      </c>
      <c r="D13">
        <v>74.672272727272727</v>
      </c>
      <c r="E13">
        <v>75.454545454545453</v>
      </c>
      <c r="F13">
        <v>0</v>
      </c>
      <c r="G13">
        <v>70.425465116279071</v>
      </c>
      <c r="I13">
        <v>11</v>
      </c>
      <c r="J13">
        <v>73.214285714285708</v>
      </c>
      <c r="K13">
        <v>55.695121951219512</v>
      </c>
      <c r="L13">
        <v>71.334516129032252</v>
      </c>
      <c r="M13">
        <v>73.558787878787882</v>
      </c>
      <c r="N13">
        <v>0</v>
      </c>
      <c r="O13">
        <v>66.382232142857134</v>
      </c>
      <c r="Q13">
        <v>11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5">
      <c r="A14">
        <v>12</v>
      </c>
      <c r="B14">
        <v>92.35499999999999</v>
      </c>
      <c r="C14">
        <v>58.084285714285713</v>
      </c>
      <c r="D14">
        <v>83.718846153846158</v>
      </c>
      <c r="E14">
        <v>93.240740740740748</v>
      </c>
      <c r="F14">
        <v>0</v>
      </c>
      <c r="G14">
        <v>78.068265306122456</v>
      </c>
      <c r="I14">
        <v>12</v>
      </c>
      <c r="J14">
        <v>79.742857142857147</v>
      </c>
      <c r="K14">
        <v>59.58461538461539</v>
      </c>
      <c r="L14">
        <v>81.16185185185185</v>
      </c>
      <c r="M14">
        <v>86.056250000000006</v>
      </c>
      <c r="N14">
        <v>0</v>
      </c>
      <c r="O14">
        <v>74.544476190476189</v>
      </c>
      <c r="Q14">
        <v>12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25">
      <c r="A15" t="s">
        <v>13</v>
      </c>
      <c r="B15">
        <v>88.795630252100821</v>
      </c>
      <c r="C15">
        <v>58.553104265402844</v>
      </c>
      <c r="D15">
        <v>78.467584905660374</v>
      </c>
      <c r="E15">
        <v>83.831672473867584</v>
      </c>
      <c r="F15">
        <v>0</v>
      </c>
      <c r="G15">
        <v>73.311701738334861</v>
      </c>
      <c r="I15" t="s">
        <v>13</v>
      </c>
      <c r="J15">
        <v>79.907709923664115</v>
      </c>
      <c r="K15">
        <v>59.813607214428863</v>
      </c>
      <c r="L15">
        <v>79.037863777089768</v>
      </c>
      <c r="M15">
        <v>79.702586206896555</v>
      </c>
      <c r="N15">
        <v>0</v>
      </c>
      <c r="O15">
        <v>71.929769408147578</v>
      </c>
      <c r="Q15" t="s">
        <v>13</v>
      </c>
      <c r="R15">
        <v>102.0625</v>
      </c>
      <c r="S15">
        <v>56.61944444444444</v>
      </c>
      <c r="T15">
        <v>80.332307692307694</v>
      </c>
      <c r="U15">
        <v>89.434666666666672</v>
      </c>
      <c r="V15">
        <v>0</v>
      </c>
      <c r="W15">
        <v>76.264800000000008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0640-6F5A-4B43-94AF-209E878B921B}">
  <sheetPr codeName="Sheet58"/>
  <dimension ref="A1:I7"/>
  <sheetViews>
    <sheetView workbookViewId="0"/>
  </sheetViews>
  <sheetFormatPr defaultRowHeight="15" x14ac:dyDescent="0.25"/>
  <sheetData>
    <row r="1" spans="1:9" x14ac:dyDescent="0.25">
      <c r="A1" t="s">
        <v>943</v>
      </c>
    </row>
    <row r="3" spans="1:9" x14ac:dyDescent="0.25">
      <c r="A3" t="s">
        <v>1008</v>
      </c>
      <c r="F3" t="s">
        <v>1007</v>
      </c>
    </row>
    <row r="4" spans="1:9" x14ac:dyDescent="0.25">
      <c r="A4" t="s">
        <v>1009</v>
      </c>
      <c r="B4" t="s">
        <v>1010</v>
      </c>
      <c r="D4" t="s">
        <v>1014</v>
      </c>
      <c r="F4" t="s">
        <v>1009</v>
      </c>
      <c r="G4" t="s">
        <v>1010</v>
      </c>
      <c r="I4" t="s">
        <v>1014</v>
      </c>
    </row>
    <row r="5" spans="1:9" x14ac:dyDescent="0.25">
      <c r="A5">
        <v>1973.4866666666667</v>
      </c>
      <c r="B5" t="s">
        <v>1011</v>
      </c>
      <c r="C5">
        <v>135</v>
      </c>
      <c r="D5">
        <v>1277</v>
      </c>
      <c r="F5">
        <v>1973.8172588832488</v>
      </c>
      <c r="G5" t="s">
        <v>1011</v>
      </c>
      <c r="H5">
        <v>172</v>
      </c>
      <c r="I5">
        <v>1537</v>
      </c>
    </row>
    <row r="6" spans="1:9" x14ac:dyDescent="0.25">
      <c r="B6" t="s">
        <v>1012</v>
      </c>
      <c r="C6">
        <v>315</v>
      </c>
      <c r="G6" t="s">
        <v>1012</v>
      </c>
      <c r="H6">
        <v>419</v>
      </c>
    </row>
    <row r="7" spans="1:9" x14ac:dyDescent="0.25">
      <c r="B7" t="s">
        <v>1013</v>
      </c>
      <c r="C7">
        <v>450</v>
      </c>
      <c r="G7" t="s">
        <v>1013</v>
      </c>
      <c r="H7">
        <v>591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EC38-DF4F-4D08-833A-EBE83F74DFBA}">
  <sheetPr codeName="Sheet59"/>
  <dimension ref="A1:AN151"/>
  <sheetViews>
    <sheetView topLeftCell="A129" workbookViewId="0">
      <selection activeCell="F147" sqref="F147:H151"/>
    </sheetView>
  </sheetViews>
  <sheetFormatPr defaultRowHeight="15" x14ac:dyDescent="0.25"/>
  <cols>
    <col min="1" max="1" width="9.140625" style="55"/>
    <col min="2" max="26" width="9.140625" style="55" customWidth="1"/>
    <col min="27" max="40" width="9.28515625" style="55" bestFit="1" customWidth="1"/>
    <col min="41" max="16384" width="9.140625" style="55"/>
  </cols>
  <sheetData>
    <row r="1" spans="1:40" x14ac:dyDescent="0.25">
      <c r="A1" s="55" t="s">
        <v>1015</v>
      </c>
      <c r="E1" s="55" t="s">
        <v>1016</v>
      </c>
      <c r="I1" s="55" t="s">
        <v>1019</v>
      </c>
      <c r="L1" s="55" t="s">
        <v>1082</v>
      </c>
    </row>
    <row r="2" spans="1:40" x14ac:dyDescent="0.25">
      <c r="B2" s="54">
        <v>2017</v>
      </c>
      <c r="C2" s="54">
        <v>2018</v>
      </c>
      <c r="F2" s="55" t="s">
        <v>1018</v>
      </c>
      <c r="G2" s="55" t="s">
        <v>1017</v>
      </c>
      <c r="J2" s="56" t="s">
        <v>1020</v>
      </c>
      <c r="L2" s="54"/>
      <c r="M2" s="54">
        <v>2017</v>
      </c>
      <c r="N2" s="54">
        <v>2018</v>
      </c>
      <c r="O2" s="55" t="s">
        <v>1017</v>
      </c>
    </row>
    <row r="3" spans="1:40" x14ac:dyDescent="0.25">
      <c r="A3" s="55" t="s">
        <v>1001</v>
      </c>
      <c r="B3" s="55">
        <v>11839.829977777777</v>
      </c>
      <c r="C3" s="55">
        <v>11534.114577777778</v>
      </c>
      <c r="E3" s="55" t="s">
        <v>1001</v>
      </c>
      <c r="F3" s="55">
        <v>12304.488199999998</v>
      </c>
      <c r="G3" s="55">
        <v>11656.519022222223</v>
      </c>
      <c r="I3" s="55" t="s">
        <v>1001</v>
      </c>
      <c r="J3" s="55">
        <v>647.94768888888882</v>
      </c>
      <c r="L3" s="55" t="s">
        <v>1001</v>
      </c>
      <c r="M3" s="55">
        <v>11839.829977777777</v>
      </c>
      <c r="N3" s="55">
        <v>11534.114577777778</v>
      </c>
      <c r="O3" s="55">
        <v>11656.519022222223</v>
      </c>
    </row>
    <row r="4" spans="1:40" x14ac:dyDescent="0.25">
      <c r="A4" s="55" t="s">
        <v>1003</v>
      </c>
      <c r="B4" s="55">
        <v>2145.4528666666665</v>
      </c>
      <c r="C4" s="55">
        <v>2713.3037333333332</v>
      </c>
      <c r="E4" s="55" t="s">
        <v>1003</v>
      </c>
      <c r="F4" s="55">
        <v>2280.1554444444446</v>
      </c>
      <c r="G4" s="55">
        <v>2719.3596888888892</v>
      </c>
      <c r="I4" s="55" t="s">
        <v>1003</v>
      </c>
      <c r="J4" s="55">
        <v>151.81077777777779</v>
      </c>
      <c r="L4" s="55" t="s">
        <v>1003</v>
      </c>
      <c r="M4" s="55">
        <v>2145.4528666666665</v>
      </c>
      <c r="N4" s="55">
        <v>2713.3037333333332</v>
      </c>
      <c r="O4" s="55">
        <v>2719.3596888888892</v>
      </c>
    </row>
    <row r="5" spans="1:40" x14ac:dyDescent="0.25">
      <c r="A5" s="55" t="s">
        <v>1007</v>
      </c>
      <c r="B5" s="55">
        <v>135.5832318104907</v>
      </c>
      <c r="C5" s="55">
        <v>158.34285956006769</v>
      </c>
      <c r="E5" s="55" t="s">
        <v>1007</v>
      </c>
      <c r="F5" s="55">
        <v>146.08047377326562</v>
      </c>
      <c r="G5" s="55">
        <v>153.02267343485619</v>
      </c>
      <c r="I5" s="55" t="s">
        <v>1007</v>
      </c>
      <c r="J5" s="55">
        <v>6.4521827411167516</v>
      </c>
      <c r="L5" s="55" t="s">
        <v>1007</v>
      </c>
      <c r="M5" s="55">
        <v>135.5832318104907</v>
      </c>
      <c r="N5" s="55">
        <v>158.34285956006769</v>
      </c>
      <c r="O5" s="55">
        <v>153.02267343485619</v>
      </c>
    </row>
    <row r="7" spans="1:40" x14ac:dyDescent="0.25">
      <c r="A7" s="55" t="s">
        <v>1021</v>
      </c>
      <c r="O7" s="55" t="s">
        <v>1034</v>
      </c>
    </row>
    <row r="8" spans="1:40" x14ac:dyDescent="0.25">
      <c r="B8" s="56" t="s">
        <v>1033</v>
      </c>
      <c r="C8" s="56" t="s">
        <v>1032</v>
      </c>
      <c r="D8" s="56" t="s">
        <v>1031</v>
      </c>
      <c r="E8" s="56" t="s">
        <v>1030</v>
      </c>
      <c r="F8" s="56" t="s">
        <v>1029</v>
      </c>
      <c r="G8" s="56" t="s">
        <v>1028</v>
      </c>
      <c r="H8" s="56" t="s">
        <v>1027</v>
      </c>
      <c r="I8" s="56" t="s">
        <v>1026</v>
      </c>
      <c r="J8" s="56" t="s">
        <v>1025</v>
      </c>
      <c r="K8" s="56" t="s">
        <v>1024</v>
      </c>
      <c r="L8" s="56" t="s">
        <v>1023</v>
      </c>
      <c r="M8" s="56" t="s">
        <v>1022</v>
      </c>
      <c r="P8" s="56" t="s">
        <v>1047</v>
      </c>
      <c r="Q8" s="56" t="s">
        <v>1046</v>
      </c>
      <c r="R8" s="56" t="s">
        <v>1045</v>
      </c>
      <c r="S8" s="56" t="s">
        <v>1044</v>
      </c>
      <c r="T8" s="56" t="s">
        <v>1043</v>
      </c>
      <c r="U8" s="56" t="s">
        <v>1042</v>
      </c>
      <c r="V8" s="56" t="s">
        <v>1041</v>
      </c>
      <c r="W8" s="56" t="s">
        <v>1040</v>
      </c>
      <c r="X8" s="56" t="s">
        <v>1039</v>
      </c>
      <c r="Y8" s="56" t="s">
        <v>1038</v>
      </c>
      <c r="Z8" s="56" t="s">
        <v>1037</v>
      </c>
      <c r="AA8" s="56" t="s">
        <v>1036</v>
      </c>
      <c r="AB8" s="56" t="s">
        <v>1035</v>
      </c>
      <c r="AC8" s="56" t="s">
        <v>1033</v>
      </c>
      <c r="AD8" s="56" t="s">
        <v>1032</v>
      </c>
      <c r="AE8" s="56" t="s">
        <v>1031</v>
      </c>
      <c r="AF8" s="56" t="s">
        <v>1030</v>
      </c>
      <c r="AG8" s="56" t="s">
        <v>1029</v>
      </c>
      <c r="AH8" s="56" t="s">
        <v>1028</v>
      </c>
      <c r="AI8" s="56" t="s">
        <v>1027</v>
      </c>
      <c r="AJ8" s="56" t="s">
        <v>1026</v>
      </c>
      <c r="AK8" s="56" t="s">
        <v>1025</v>
      </c>
      <c r="AL8" s="56" t="s">
        <v>1024</v>
      </c>
      <c r="AM8" s="56" t="s">
        <v>1023</v>
      </c>
      <c r="AN8" s="56" t="s">
        <v>1022</v>
      </c>
    </row>
    <row r="9" spans="1:40" x14ac:dyDescent="0.25">
      <c r="A9" s="55" t="s">
        <v>1001</v>
      </c>
      <c r="B9" s="55">
        <v>254.08624119028974</v>
      </c>
      <c r="C9" s="55">
        <v>202.60725137039938</v>
      </c>
      <c r="D9" s="55">
        <v>271.77045418950667</v>
      </c>
      <c r="E9" s="55">
        <v>337.58085356303837</v>
      </c>
      <c r="F9" s="55">
        <v>368.04015661707126</v>
      </c>
      <c r="G9" s="55">
        <v>291.98628817541112</v>
      </c>
      <c r="H9" s="55">
        <v>584.21475332811281</v>
      </c>
      <c r="I9" s="55">
        <v>298.17368833202812</v>
      </c>
      <c r="J9" s="55">
        <v>437.13244322631169</v>
      </c>
      <c r="K9" s="55">
        <v>360.1194283476899</v>
      </c>
      <c r="L9" s="55">
        <v>473.58139389193428</v>
      </c>
      <c r="M9" s="55">
        <v>228.32925606891149</v>
      </c>
      <c r="O9" s="55" t="s">
        <v>1001</v>
      </c>
      <c r="P9" s="55">
        <v>21.455176194205173</v>
      </c>
      <c r="Q9" s="55">
        <v>627.94599060297583</v>
      </c>
      <c r="R9" s="55">
        <v>408.67033672670323</v>
      </c>
      <c r="S9" s="55">
        <v>279.77040720438532</v>
      </c>
      <c r="T9" s="55">
        <v>271.01595144870788</v>
      </c>
      <c r="U9" s="55">
        <v>721.03172278778391</v>
      </c>
      <c r="V9" s="55">
        <v>290.79168363351602</v>
      </c>
      <c r="W9" s="55">
        <v>386.22229444009395</v>
      </c>
      <c r="X9" s="55">
        <v>291.0011902897416</v>
      </c>
      <c r="Y9" s="55">
        <v>306.6071730618637</v>
      </c>
      <c r="Z9" s="55">
        <v>317.59645262333595</v>
      </c>
      <c r="AA9" s="55">
        <v>250.11048551292089</v>
      </c>
      <c r="AB9" s="55">
        <v>185.19534847298354</v>
      </c>
      <c r="AC9" s="55">
        <v>254.08624119028974</v>
      </c>
      <c r="AD9" s="55">
        <v>202.60725137039938</v>
      </c>
      <c r="AE9" s="55">
        <v>271.77045418950667</v>
      </c>
      <c r="AF9" s="55">
        <v>337.58085356303837</v>
      </c>
      <c r="AG9" s="55">
        <v>368.04015661707126</v>
      </c>
      <c r="AH9" s="55">
        <v>291.98628817541112</v>
      </c>
      <c r="AI9" s="55">
        <v>584.21475332811281</v>
      </c>
      <c r="AJ9" s="55">
        <v>298.17368833202812</v>
      </c>
      <c r="AK9" s="55">
        <v>437.13244322631169</v>
      </c>
      <c r="AL9" s="55">
        <v>360.1194283476899</v>
      </c>
      <c r="AM9" s="55">
        <v>473.58139389193428</v>
      </c>
      <c r="AN9" s="55">
        <v>228.32925606891149</v>
      </c>
    </row>
    <row r="10" spans="1:40" x14ac:dyDescent="0.25">
      <c r="A10" s="55" t="s">
        <v>1003</v>
      </c>
      <c r="B10" s="55">
        <v>65.530015661707125</v>
      </c>
      <c r="C10" s="55">
        <v>80.899005481597499</v>
      </c>
      <c r="D10" s="55">
        <v>70.447376664056378</v>
      </c>
      <c r="E10" s="55">
        <v>96.212474549725925</v>
      </c>
      <c r="F10" s="55">
        <v>91.51102584181676</v>
      </c>
      <c r="G10" s="55">
        <v>66.737689898198909</v>
      </c>
      <c r="H10" s="55">
        <v>92.961620986687549</v>
      </c>
      <c r="I10" s="55">
        <v>74.283437744714178</v>
      </c>
      <c r="J10" s="55">
        <v>79.770446358653089</v>
      </c>
      <c r="K10" s="55">
        <v>81.379655442443237</v>
      </c>
      <c r="L10" s="55">
        <v>105.04173061863744</v>
      </c>
      <c r="M10" s="55">
        <v>53.496358653093189</v>
      </c>
      <c r="O10" s="55" t="s">
        <v>1003</v>
      </c>
      <c r="P10" s="55">
        <v>3.894682850430697</v>
      </c>
      <c r="Q10" s="55">
        <v>38.535137039937354</v>
      </c>
      <c r="R10" s="55">
        <v>51.022599843382928</v>
      </c>
      <c r="S10" s="55">
        <v>47.368191072826939</v>
      </c>
      <c r="T10" s="55">
        <v>50.229671104150356</v>
      </c>
      <c r="U10" s="55">
        <v>74.830908379013323</v>
      </c>
      <c r="V10" s="55">
        <v>71.143790133124511</v>
      </c>
      <c r="W10" s="55">
        <v>77.701636648394683</v>
      </c>
      <c r="X10" s="55">
        <v>71.114095536413473</v>
      </c>
      <c r="Y10" s="55">
        <v>83.050900548159746</v>
      </c>
      <c r="Z10" s="55">
        <v>84.216249021143298</v>
      </c>
      <c r="AA10" s="55">
        <v>102.92486296006264</v>
      </c>
      <c r="AB10" s="55">
        <v>51.362310101801093</v>
      </c>
      <c r="AC10" s="55">
        <v>65.530015661707125</v>
      </c>
      <c r="AD10" s="55">
        <v>80.899005481597499</v>
      </c>
      <c r="AE10" s="55">
        <v>70.447376664056378</v>
      </c>
      <c r="AF10" s="55">
        <v>96.212474549725925</v>
      </c>
      <c r="AG10" s="55">
        <v>91.51102584181676</v>
      </c>
      <c r="AH10" s="55">
        <v>66.737689898198909</v>
      </c>
      <c r="AI10" s="55">
        <v>92.961620986687549</v>
      </c>
      <c r="AJ10" s="55">
        <v>74.283437744714178</v>
      </c>
      <c r="AK10" s="55">
        <v>79.770446358653089</v>
      </c>
      <c r="AL10" s="55">
        <v>81.379655442443237</v>
      </c>
      <c r="AM10" s="55">
        <v>105.04173061863744</v>
      </c>
      <c r="AN10" s="55">
        <v>53.496358653093189</v>
      </c>
    </row>
    <row r="11" spans="1:40" x14ac:dyDescent="0.25">
      <c r="A11" s="55" t="s">
        <v>1007</v>
      </c>
      <c r="B11" s="55">
        <v>3.2335523747560178</v>
      </c>
      <c r="C11" s="55">
        <v>4.4761093038386468</v>
      </c>
      <c r="D11" s="55">
        <v>2.5644242029928432</v>
      </c>
      <c r="E11" s="55">
        <v>3.4735328562134034</v>
      </c>
      <c r="F11" s="55">
        <v>4.6371242680546523</v>
      </c>
      <c r="G11" s="55">
        <v>12.390409889394926</v>
      </c>
      <c r="H11" s="55">
        <v>9.6132140533506814</v>
      </c>
      <c r="I11" s="55">
        <v>2.4399024072869224</v>
      </c>
      <c r="J11" s="55">
        <v>3.6006050748210803</v>
      </c>
      <c r="K11" s="55">
        <v>4.8372218607677286</v>
      </c>
      <c r="L11" s="55">
        <v>5.0924983734547817</v>
      </c>
      <c r="M11" s="55">
        <v>2.4809629147690306</v>
      </c>
      <c r="O11" s="55" t="s">
        <v>1007</v>
      </c>
      <c r="P11" s="55">
        <v>0.49030579050097595</v>
      </c>
      <c r="Q11" s="55">
        <v>3.5761873780091089</v>
      </c>
      <c r="R11" s="55">
        <v>3.7878724788549123</v>
      </c>
      <c r="S11" s="55">
        <v>3.8482628497072224</v>
      </c>
      <c r="T11" s="55">
        <v>2.3962849707221863</v>
      </c>
      <c r="U11" s="55">
        <v>6.0569095640858812</v>
      </c>
      <c r="V11" s="55">
        <v>8.0287443070917366</v>
      </c>
      <c r="W11" s="55">
        <v>7.8920104098893953</v>
      </c>
      <c r="X11" s="55">
        <v>2.9368445022771636</v>
      </c>
      <c r="Y11" s="55">
        <v>4.2021990891346785</v>
      </c>
      <c r="Z11" s="55">
        <v>3.9405270006506181</v>
      </c>
      <c r="AA11" s="55">
        <v>4.9776772934287576</v>
      </c>
      <c r="AB11" s="55">
        <v>4.5266558230318807</v>
      </c>
      <c r="AC11" s="55">
        <v>3.2335523747560178</v>
      </c>
      <c r="AD11" s="55">
        <v>4.4761093038386468</v>
      </c>
      <c r="AE11" s="55">
        <v>2.5644242029928432</v>
      </c>
      <c r="AF11" s="55">
        <v>3.4735328562134034</v>
      </c>
      <c r="AG11" s="55">
        <v>4.6371242680546523</v>
      </c>
      <c r="AH11" s="55">
        <v>12.390409889394926</v>
      </c>
      <c r="AI11" s="55">
        <v>9.6132140533506814</v>
      </c>
      <c r="AJ11" s="55">
        <v>2.4399024072869224</v>
      </c>
      <c r="AK11" s="55">
        <v>3.6006050748210803</v>
      </c>
      <c r="AL11" s="55">
        <v>4.8372218607677286</v>
      </c>
      <c r="AM11" s="55">
        <v>5.0924983734547817</v>
      </c>
      <c r="AN11" s="55">
        <v>2.4809629147690306</v>
      </c>
    </row>
    <row r="13" spans="1:40" x14ac:dyDescent="0.25">
      <c r="A13" s="55" t="s">
        <v>1048</v>
      </c>
      <c r="O13" s="55" t="s">
        <v>1049</v>
      </c>
    </row>
    <row r="14" spans="1:40" x14ac:dyDescent="0.25">
      <c r="B14" s="56" t="s">
        <v>1033</v>
      </c>
      <c r="C14" s="56" t="s">
        <v>1032</v>
      </c>
      <c r="D14" s="56" t="s">
        <v>1031</v>
      </c>
      <c r="E14" s="56" t="s">
        <v>1030</v>
      </c>
      <c r="F14" s="56" t="s">
        <v>1029</v>
      </c>
      <c r="G14" s="56" t="s">
        <v>1028</v>
      </c>
      <c r="H14" s="56" t="s">
        <v>1027</v>
      </c>
      <c r="I14" s="56" t="s">
        <v>1026</v>
      </c>
      <c r="J14" s="56" t="s">
        <v>1025</v>
      </c>
      <c r="K14" s="56" t="s">
        <v>1024</v>
      </c>
      <c r="L14" s="56" t="s">
        <v>1023</v>
      </c>
      <c r="M14" s="56" t="s">
        <v>1022</v>
      </c>
      <c r="P14" s="56" t="s">
        <v>1047</v>
      </c>
      <c r="Q14" s="56" t="s">
        <v>1046</v>
      </c>
      <c r="R14" s="56" t="s">
        <v>1045</v>
      </c>
      <c r="S14" s="56" t="s">
        <v>1044</v>
      </c>
      <c r="T14" s="56" t="s">
        <v>1043</v>
      </c>
      <c r="U14" s="56" t="s">
        <v>1042</v>
      </c>
      <c r="V14" s="56" t="s">
        <v>1041</v>
      </c>
      <c r="W14" s="56" t="s">
        <v>1040</v>
      </c>
      <c r="X14" s="56" t="s">
        <v>1039</v>
      </c>
      <c r="Y14" s="56" t="s">
        <v>1038</v>
      </c>
      <c r="Z14" s="56" t="s">
        <v>1037</v>
      </c>
      <c r="AA14" s="56" t="s">
        <v>1036</v>
      </c>
      <c r="AB14" s="56" t="s">
        <v>1035</v>
      </c>
      <c r="AC14" s="56" t="s">
        <v>1033</v>
      </c>
      <c r="AD14" s="56" t="s">
        <v>1032</v>
      </c>
      <c r="AE14" s="56" t="s">
        <v>1031</v>
      </c>
      <c r="AF14" s="56" t="s">
        <v>1030</v>
      </c>
      <c r="AG14" s="56" t="s">
        <v>1029</v>
      </c>
      <c r="AH14" s="56" t="s">
        <v>1028</v>
      </c>
      <c r="AI14" s="56" t="s">
        <v>1027</v>
      </c>
      <c r="AJ14" s="56" t="s">
        <v>1026</v>
      </c>
      <c r="AK14" s="56" t="s">
        <v>1025</v>
      </c>
      <c r="AL14" s="56" t="s">
        <v>1024</v>
      </c>
      <c r="AM14" s="56" t="s">
        <v>1023</v>
      </c>
      <c r="AN14" s="56" t="s">
        <v>1022</v>
      </c>
    </row>
    <row r="15" spans="1:40" x14ac:dyDescent="0.25">
      <c r="A15" s="55" t="s">
        <v>1001</v>
      </c>
      <c r="B15" s="55">
        <v>236.14856622998545</v>
      </c>
      <c r="C15" s="55">
        <v>171.57125994694962</v>
      </c>
      <c r="D15" s="55">
        <v>258.60720566318929</v>
      </c>
      <c r="E15" s="55">
        <v>277.05061053984576</v>
      </c>
      <c r="F15" s="55">
        <v>304.19888673139161</v>
      </c>
      <c r="G15" s="55">
        <v>233.77209404388714</v>
      </c>
      <c r="H15" s="55">
        <v>382.19377049180326</v>
      </c>
      <c r="I15" s="55">
        <v>291.32960979341999</v>
      </c>
      <c r="J15" s="55">
        <v>304.8706335335882</v>
      </c>
      <c r="K15" s="55">
        <v>276.8648464780253</v>
      </c>
      <c r="L15" s="55">
        <v>343.61559090909094</v>
      </c>
      <c r="M15" s="55">
        <v>212.98499634769902</v>
      </c>
      <c r="O15" s="55" t="s">
        <v>1001</v>
      </c>
      <c r="P15" s="55">
        <v>174.51121019108285</v>
      </c>
      <c r="Q15" s="55">
        <v>529.64797225891687</v>
      </c>
      <c r="R15" s="55">
        <v>342.43570866141732</v>
      </c>
      <c r="S15" s="55">
        <v>272.09962680883478</v>
      </c>
      <c r="T15" s="55">
        <v>233.36977073499662</v>
      </c>
      <c r="U15" s="55">
        <v>569.07139060568602</v>
      </c>
      <c r="V15" s="55">
        <v>262.24645480225985</v>
      </c>
      <c r="W15" s="55">
        <v>269.80627461706786</v>
      </c>
      <c r="X15" s="55">
        <v>260.23005602240897</v>
      </c>
      <c r="Y15" s="55">
        <v>236.72149939540506</v>
      </c>
      <c r="Z15" s="55">
        <v>269.30323373173968</v>
      </c>
      <c r="AA15" s="55">
        <v>212.07907702523238</v>
      </c>
      <c r="AB15" s="55">
        <v>142.81066425120773</v>
      </c>
      <c r="AC15" s="55">
        <v>236.14856622998545</v>
      </c>
      <c r="AD15" s="55">
        <v>171.57125994694962</v>
      </c>
      <c r="AE15" s="55">
        <v>258.60720566318929</v>
      </c>
      <c r="AF15" s="55">
        <v>277.05061053984576</v>
      </c>
      <c r="AG15" s="55">
        <v>304.19888673139161</v>
      </c>
      <c r="AH15" s="55">
        <v>233.77209404388714</v>
      </c>
      <c r="AI15" s="55">
        <v>382.19377049180326</v>
      </c>
      <c r="AJ15" s="55">
        <v>291.32960979341999</v>
      </c>
      <c r="AK15" s="55">
        <v>304.8706335335882</v>
      </c>
      <c r="AL15" s="55">
        <v>276.8648464780253</v>
      </c>
      <c r="AM15" s="55">
        <v>343.61559090909094</v>
      </c>
      <c r="AN15" s="55">
        <v>212.98499634769902</v>
      </c>
    </row>
    <row r="16" spans="1:40" x14ac:dyDescent="0.25">
      <c r="A16" s="55" t="s">
        <v>1007</v>
      </c>
      <c r="B16" s="55">
        <v>64.545064935064929</v>
      </c>
      <c r="C16" s="55">
        <v>65.521714285714282</v>
      </c>
      <c r="D16" s="55">
        <v>66.805423728813565</v>
      </c>
      <c r="E16" s="55">
        <v>68.44641025641026</v>
      </c>
      <c r="F16" s="55">
        <v>72.727142857142866</v>
      </c>
      <c r="G16" s="55">
        <v>77.730857142857147</v>
      </c>
      <c r="H16" s="55">
        <v>73.509999999999991</v>
      </c>
      <c r="I16" s="55">
        <v>70.75716981132075</v>
      </c>
      <c r="J16" s="55">
        <v>77.945492957746481</v>
      </c>
      <c r="K16" s="55">
        <v>66.382232142857134</v>
      </c>
      <c r="L16" s="55">
        <v>74.544476190476189</v>
      </c>
      <c r="M16" s="55">
        <v>76.264800000000008</v>
      </c>
      <c r="O16" s="55" t="s">
        <v>1007</v>
      </c>
      <c r="P16" s="55">
        <v>75.36</v>
      </c>
      <c r="Q16" s="55">
        <v>79.660869565217396</v>
      </c>
      <c r="R16" s="55">
        <v>72.774500000000003</v>
      </c>
      <c r="S16" s="55">
        <v>70.414047619047622</v>
      </c>
      <c r="T16" s="55">
        <v>72.217450980392158</v>
      </c>
      <c r="U16" s="55">
        <v>76.937768595041319</v>
      </c>
      <c r="V16" s="55">
        <v>74.788969696969701</v>
      </c>
      <c r="W16" s="55">
        <v>68.920568181818183</v>
      </c>
      <c r="X16" s="55">
        <v>76.507288135593228</v>
      </c>
      <c r="Y16" s="55">
        <v>68.710425531914908</v>
      </c>
      <c r="Z16" s="55">
        <v>70.425465116279071</v>
      </c>
      <c r="AA16" s="55">
        <v>78.068265306122456</v>
      </c>
      <c r="AB16" s="55">
        <v>71.726494845360833</v>
      </c>
      <c r="AC16" s="55">
        <v>64.545064935064929</v>
      </c>
      <c r="AD16" s="55">
        <v>65.521714285714282</v>
      </c>
      <c r="AE16" s="55">
        <v>66.805423728813565</v>
      </c>
      <c r="AF16" s="55">
        <v>68.44641025641026</v>
      </c>
      <c r="AG16" s="55">
        <v>72.727142857142866</v>
      </c>
      <c r="AH16" s="55">
        <v>77.730857142857147</v>
      </c>
      <c r="AI16" s="55">
        <v>73.509999999999991</v>
      </c>
      <c r="AJ16" s="55">
        <v>70.75716981132075</v>
      </c>
      <c r="AK16" s="55">
        <v>77.945492957746481</v>
      </c>
      <c r="AL16" s="55">
        <v>66.382232142857134</v>
      </c>
      <c r="AM16" s="55">
        <v>74.544476190476189</v>
      </c>
      <c r="AN16" s="55">
        <v>76.264800000000008</v>
      </c>
    </row>
    <row r="18" spans="1:40" x14ac:dyDescent="0.25">
      <c r="A18" s="55" t="s">
        <v>1050</v>
      </c>
      <c r="O18" s="55" t="s">
        <v>1052</v>
      </c>
    </row>
    <row r="19" spans="1:40" x14ac:dyDescent="0.25">
      <c r="B19" s="56" t="s">
        <v>1033</v>
      </c>
      <c r="C19" s="56" t="s">
        <v>1032</v>
      </c>
      <c r="D19" s="56" t="s">
        <v>1031</v>
      </c>
      <c r="E19" s="56" t="s">
        <v>1030</v>
      </c>
      <c r="F19" s="56" t="s">
        <v>1029</v>
      </c>
      <c r="G19" s="56" t="s">
        <v>1028</v>
      </c>
      <c r="H19" s="56" t="s">
        <v>1027</v>
      </c>
      <c r="I19" s="56" t="s">
        <v>1026</v>
      </c>
      <c r="J19" s="56" t="s">
        <v>1025</v>
      </c>
      <c r="K19" s="56" t="s">
        <v>1024</v>
      </c>
      <c r="L19" s="56" t="s">
        <v>1023</v>
      </c>
      <c r="M19" s="56" t="s">
        <v>1022</v>
      </c>
      <c r="P19" s="56" t="s">
        <v>1047</v>
      </c>
      <c r="Q19" s="56" t="s">
        <v>1046</v>
      </c>
      <c r="R19" s="56" t="s">
        <v>1045</v>
      </c>
      <c r="S19" s="56" t="s">
        <v>1044</v>
      </c>
      <c r="T19" s="56" t="s">
        <v>1043</v>
      </c>
      <c r="U19" s="56" t="s">
        <v>1042</v>
      </c>
      <c r="V19" s="56" t="s">
        <v>1041</v>
      </c>
      <c r="W19" s="56" t="s">
        <v>1040</v>
      </c>
      <c r="X19" s="56" t="s">
        <v>1039</v>
      </c>
      <c r="Y19" s="56" t="s">
        <v>1038</v>
      </c>
      <c r="Z19" s="56" t="s">
        <v>1037</v>
      </c>
      <c r="AA19" s="56" t="s">
        <v>1036</v>
      </c>
      <c r="AB19" s="56" t="s">
        <v>1035</v>
      </c>
      <c r="AC19" s="56" t="s">
        <v>1033</v>
      </c>
      <c r="AD19" s="56" t="s">
        <v>1032</v>
      </c>
      <c r="AE19" s="56" t="s">
        <v>1031</v>
      </c>
      <c r="AF19" s="56" t="s">
        <v>1030</v>
      </c>
      <c r="AG19" s="56" t="s">
        <v>1029</v>
      </c>
      <c r="AH19" s="56" t="s">
        <v>1028</v>
      </c>
      <c r="AI19" s="56" t="s">
        <v>1027</v>
      </c>
      <c r="AJ19" s="56" t="s">
        <v>1026</v>
      </c>
      <c r="AK19" s="56" t="s">
        <v>1025</v>
      </c>
      <c r="AL19" s="56" t="s">
        <v>1024</v>
      </c>
      <c r="AM19" s="56" t="s">
        <v>1023</v>
      </c>
      <c r="AN19" s="56" t="s">
        <v>1022</v>
      </c>
    </row>
    <row r="20" spans="1:40" x14ac:dyDescent="0.25">
      <c r="A20" s="55" t="s">
        <v>964</v>
      </c>
      <c r="B20" s="55">
        <v>561.61581196581199</v>
      </c>
      <c r="C20" s="55">
        <v>458.99878661087871</v>
      </c>
      <c r="D20" s="55">
        <v>618.01688034188044</v>
      </c>
      <c r="E20" s="55">
        <v>610.88873846153842</v>
      </c>
      <c r="F20" s="55">
        <v>527.13433774834436</v>
      </c>
      <c r="G20" s="55">
        <v>409.20283489096568</v>
      </c>
      <c r="H20" s="55">
        <v>823.24969529085877</v>
      </c>
      <c r="I20" s="55">
        <v>727.8016203703703</v>
      </c>
      <c r="J20" s="55">
        <v>544.75064308681681</v>
      </c>
      <c r="K20" s="55">
        <v>493.14596825396831</v>
      </c>
      <c r="L20" s="55">
        <v>515.5667486338798</v>
      </c>
      <c r="M20" s="55">
        <v>267.54794871794871</v>
      </c>
      <c r="O20" s="55" t="s">
        <v>964</v>
      </c>
      <c r="P20" s="55">
        <v>87.753823529411761</v>
      </c>
      <c r="Q20" s="55">
        <v>399.90923076923076</v>
      </c>
      <c r="R20" s="55">
        <v>480.78222797927464</v>
      </c>
      <c r="S20" s="55">
        <v>535.3504040404041</v>
      </c>
      <c r="T20" s="55">
        <v>494.40225409836063</v>
      </c>
      <c r="U20" s="55">
        <v>702.68427509293679</v>
      </c>
      <c r="V20" s="55">
        <v>533.94343347639483</v>
      </c>
      <c r="W20" s="55">
        <v>595.42953216374269</v>
      </c>
      <c r="X20" s="55">
        <v>561.34634453781507</v>
      </c>
      <c r="Y20" s="55">
        <v>785.61710743801655</v>
      </c>
      <c r="Z20" s="55">
        <v>787.42039840637449</v>
      </c>
      <c r="AA20" s="55">
        <v>471.26402777777781</v>
      </c>
      <c r="AB20" s="55">
        <v>419.54719858156028</v>
      </c>
      <c r="AC20" s="55">
        <v>561.61581196581199</v>
      </c>
      <c r="AD20" s="55">
        <v>458.99878661087871</v>
      </c>
      <c r="AE20" s="55">
        <v>618.01688034188044</v>
      </c>
      <c r="AF20" s="55">
        <v>610.88873846153842</v>
      </c>
      <c r="AG20" s="55">
        <v>527.13433774834436</v>
      </c>
      <c r="AH20" s="55">
        <v>409.20283489096568</v>
      </c>
      <c r="AI20" s="55">
        <v>823.24969529085877</v>
      </c>
      <c r="AJ20" s="55">
        <v>727.8016203703703</v>
      </c>
      <c r="AK20" s="55">
        <v>544.75064308681681</v>
      </c>
      <c r="AL20" s="55">
        <v>493.14596825396831</v>
      </c>
      <c r="AM20" s="55">
        <v>515.5667486338798</v>
      </c>
      <c r="AN20" s="55">
        <v>267.54794871794871</v>
      </c>
    </row>
    <row r="21" spans="1:40" x14ac:dyDescent="0.25">
      <c r="A21" s="55" t="s">
        <v>1002</v>
      </c>
      <c r="B21" s="55">
        <v>459.11657142857143</v>
      </c>
      <c r="C21" s="55">
        <v>155.00029411764706</v>
      </c>
      <c r="D21" s="55">
        <v>363.9666666666667</v>
      </c>
      <c r="E21" s="55">
        <v>220.34702702702702</v>
      </c>
      <c r="F21" s="55">
        <v>212.7161111111111</v>
      </c>
      <c r="G21" s="55">
        <v>369.14568627450979</v>
      </c>
      <c r="H21" s="55">
        <v>337.7240384615385</v>
      </c>
      <c r="I21" s="55">
        <v>266.77428571428572</v>
      </c>
      <c r="J21" s="55">
        <v>325.346</v>
      </c>
      <c r="K21" s="55">
        <v>780.6427450980392</v>
      </c>
      <c r="L21" s="55">
        <v>297.94630434782613</v>
      </c>
      <c r="M21" s="55">
        <v>61.157000000000004</v>
      </c>
      <c r="O21" s="55" t="s">
        <v>1002</v>
      </c>
      <c r="P21" s="55">
        <v>229.40799999999999</v>
      </c>
      <c r="Q21" s="55">
        <v>199.62324324324325</v>
      </c>
      <c r="R21" s="55">
        <v>403.55897435897435</v>
      </c>
      <c r="S21" s="55">
        <v>316.66825</v>
      </c>
      <c r="T21" s="55">
        <v>376.69126984126984</v>
      </c>
      <c r="U21" s="55">
        <v>425.74431818181819</v>
      </c>
      <c r="V21" s="55">
        <v>454.38261904761902</v>
      </c>
      <c r="W21" s="55">
        <v>282.21294117647057</v>
      </c>
      <c r="X21" s="55">
        <v>328.08166666666671</v>
      </c>
      <c r="Y21" s="55">
        <v>248.37090909090909</v>
      </c>
      <c r="Z21" s="55">
        <v>162.68733333333333</v>
      </c>
      <c r="AA21" s="55">
        <v>374.62787878787879</v>
      </c>
      <c r="AB21" s="55">
        <v>526.06705882352935</v>
      </c>
      <c r="AC21" s="55">
        <v>459.11657142857143</v>
      </c>
      <c r="AD21" s="55">
        <v>155.00029411764706</v>
      </c>
      <c r="AE21" s="55">
        <v>363.9666666666667</v>
      </c>
      <c r="AF21" s="55">
        <v>220.34702702702702</v>
      </c>
      <c r="AG21" s="55">
        <v>212.7161111111111</v>
      </c>
      <c r="AH21" s="55">
        <v>369.14568627450979</v>
      </c>
      <c r="AI21" s="55">
        <v>337.7240384615385</v>
      </c>
      <c r="AJ21" s="55">
        <v>266.77428571428572</v>
      </c>
      <c r="AK21" s="55">
        <v>325.346</v>
      </c>
      <c r="AL21" s="55">
        <v>780.6427450980392</v>
      </c>
      <c r="AM21" s="55">
        <v>297.94630434782613</v>
      </c>
      <c r="AN21" s="55">
        <v>61.157000000000004</v>
      </c>
    </row>
    <row r="22" spans="1:40" x14ac:dyDescent="0.25">
      <c r="A22" s="55" t="s">
        <v>962</v>
      </c>
      <c r="B22" s="55">
        <v>84.440711159737418</v>
      </c>
      <c r="C22" s="55">
        <v>100.20512024048097</v>
      </c>
      <c r="D22" s="55">
        <v>110.14445701357465</v>
      </c>
      <c r="E22" s="55">
        <v>113.63139653414882</v>
      </c>
      <c r="F22" s="55">
        <v>129.55104462474645</v>
      </c>
      <c r="G22" s="55">
        <v>143.99852674066599</v>
      </c>
      <c r="H22" s="55">
        <v>170.87293130990415</v>
      </c>
      <c r="I22" s="55">
        <v>145.44213318284423</v>
      </c>
      <c r="J22" s="55">
        <v>147.65220727848103</v>
      </c>
      <c r="K22" s="55">
        <v>147.78110383536014</v>
      </c>
      <c r="L22" s="55">
        <v>157.15251145737855</v>
      </c>
      <c r="M22" s="55">
        <v>56.329989177489182</v>
      </c>
      <c r="O22" s="55" t="s">
        <v>962</v>
      </c>
      <c r="P22" s="55">
        <v>120.17053191489363</v>
      </c>
      <c r="Q22" s="55">
        <v>94.819539267015713</v>
      </c>
      <c r="R22" s="55">
        <v>109.38980207351555</v>
      </c>
      <c r="S22" s="55">
        <v>129.91166292134832</v>
      </c>
      <c r="T22" s="55">
        <v>143.93069767441861</v>
      </c>
      <c r="U22" s="55">
        <v>177.54901777362019</v>
      </c>
      <c r="V22" s="55">
        <v>164.17059063136455</v>
      </c>
      <c r="W22" s="55">
        <v>164.46498327759198</v>
      </c>
      <c r="X22" s="55">
        <v>127.7921313240043</v>
      </c>
      <c r="Y22" s="55">
        <v>123.3883136593592</v>
      </c>
      <c r="Z22" s="55">
        <v>150.25818003913892</v>
      </c>
      <c r="AA22" s="55">
        <v>142.02042619542618</v>
      </c>
      <c r="AB22" s="55">
        <v>71.334830659536536</v>
      </c>
      <c r="AC22" s="55">
        <v>84.440711159737418</v>
      </c>
      <c r="AD22" s="55">
        <v>100.20512024048097</v>
      </c>
      <c r="AE22" s="55">
        <v>110.14445701357465</v>
      </c>
      <c r="AF22" s="55">
        <v>113.63139653414882</v>
      </c>
      <c r="AG22" s="55">
        <v>129.55104462474645</v>
      </c>
      <c r="AH22" s="55">
        <v>143.99852674066599</v>
      </c>
      <c r="AI22" s="55">
        <v>170.87293130990415</v>
      </c>
      <c r="AJ22" s="55">
        <v>145.44213318284423</v>
      </c>
      <c r="AK22" s="55">
        <v>147.65220727848103</v>
      </c>
      <c r="AL22" s="55">
        <v>147.78110383536014</v>
      </c>
      <c r="AM22" s="55">
        <v>157.15251145737855</v>
      </c>
      <c r="AN22" s="55">
        <v>56.329989177489182</v>
      </c>
    </row>
    <row r="23" spans="1:40" x14ac:dyDescent="0.25">
      <c r="A23" s="55" t="s">
        <v>961</v>
      </c>
      <c r="B23" s="55">
        <v>30.835238095238093</v>
      </c>
      <c r="C23" s="55">
        <v>31.150515021459228</v>
      </c>
      <c r="D23" s="55">
        <v>42.875029239766086</v>
      </c>
      <c r="E23" s="55">
        <v>73.176666666666662</v>
      </c>
      <c r="F23" s="55">
        <v>77.352692307692308</v>
      </c>
      <c r="G23" s="55">
        <v>65.394755555555548</v>
      </c>
      <c r="H23" s="55">
        <v>78.988389513108615</v>
      </c>
      <c r="I23" s="55">
        <v>98.68</v>
      </c>
      <c r="J23" s="55">
        <v>83.834507772020729</v>
      </c>
      <c r="K23" s="55">
        <v>77.314449541284404</v>
      </c>
      <c r="L23" s="55">
        <v>86.045247933884298</v>
      </c>
      <c r="M23" s="55">
        <v>24.178971428571426</v>
      </c>
      <c r="O23" s="55" t="s">
        <v>961</v>
      </c>
      <c r="P23" s="55">
        <v>22.863478260869567</v>
      </c>
      <c r="Q23" s="55">
        <v>76.022995594713663</v>
      </c>
      <c r="R23" s="55">
        <v>53.597818181818184</v>
      </c>
      <c r="S23" s="55">
        <v>63.57926553672317</v>
      </c>
      <c r="T23" s="55">
        <v>67.670395480225991</v>
      </c>
      <c r="U23" s="55">
        <v>72.9286301369863</v>
      </c>
      <c r="V23" s="55">
        <v>66.434038461538449</v>
      </c>
      <c r="W23" s="55">
        <v>59.074471544715443</v>
      </c>
      <c r="X23" s="55">
        <v>102.66166666666668</v>
      </c>
      <c r="Y23" s="55">
        <v>71.89544444444445</v>
      </c>
      <c r="Z23" s="55">
        <v>52.596080402010053</v>
      </c>
      <c r="AA23" s="55">
        <v>58.055</v>
      </c>
      <c r="AB23" s="55">
        <v>26.740967741935485</v>
      </c>
      <c r="AC23" s="55">
        <v>30.835238095238093</v>
      </c>
      <c r="AD23" s="55">
        <v>31.150515021459228</v>
      </c>
      <c r="AE23" s="55">
        <v>42.875029239766086</v>
      </c>
      <c r="AF23" s="55">
        <v>73.176666666666662</v>
      </c>
      <c r="AG23" s="55">
        <v>77.352692307692308</v>
      </c>
      <c r="AH23" s="55">
        <v>65.394755555555548</v>
      </c>
      <c r="AI23" s="55">
        <v>78.988389513108615</v>
      </c>
      <c r="AJ23" s="55">
        <v>98.68</v>
      </c>
      <c r="AK23" s="55">
        <v>83.834507772020729</v>
      </c>
      <c r="AL23" s="55">
        <v>77.314449541284404</v>
      </c>
      <c r="AM23" s="55">
        <v>86.045247933884298</v>
      </c>
      <c r="AN23" s="55">
        <v>24.178971428571426</v>
      </c>
    </row>
    <row r="24" spans="1:40" x14ac:dyDescent="0.25">
      <c r="A24" s="55" t="s">
        <v>960</v>
      </c>
      <c r="B24" s="55">
        <v>46987.14</v>
      </c>
      <c r="C24" s="55">
        <v>9123.99</v>
      </c>
      <c r="D24" s="55">
        <v>7495.3627272727281</v>
      </c>
      <c r="E24" s="55">
        <v>32519.85666666667</v>
      </c>
      <c r="F24" s="55">
        <v>12254.48</v>
      </c>
      <c r="G24" s="55">
        <v>9324.2271428571421</v>
      </c>
      <c r="H24" s="55">
        <v>9813.232</v>
      </c>
      <c r="I24" s="55">
        <v>7075.1679999999997</v>
      </c>
      <c r="J24" s="55">
        <v>9519.3144444444442</v>
      </c>
      <c r="K24" s="55">
        <v>11235.775</v>
      </c>
      <c r="L24" s="55">
        <v>14005.609333333334</v>
      </c>
      <c r="M24" s="55">
        <v>28475.883333333331</v>
      </c>
      <c r="O24" s="55" t="s">
        <v>960</v>
      </c>
      <c r="P24" s="55">
        <v>11445.7</v>
      </c>
      <c r="Q24" s="55">
        <v>63590.78333333334</v>
      </c>
      <c r="R24" s="55">
        <v>25953.468181818185</v>
      </c>
      <c r="S24" s="55">
        <v>13965.723749999999</v>
      </c>
      <c r="T24" s="55">
        <v>4739.6550000000007</v>
      </c>
      <c r="U24" s="55">
        <v>29837.142352941177</v>
      </c>
      <c r="V24" s="55">
        <v>18756.286666666667</v>
      </c>
      <c r="W24" s="55">
        <v>6874.128999999999</v>
      </c>
      <c r="X24" s="55">
        <v>5727.9539999999997</v>
      </c>
      <c r="Y24" s="55">
        <v>15604.99</v>
      </c>
      <c r="Z24" s="55">
        <v>9754.2625000000007</v>
      </c>
      <c r="AA24" s="55">
        <v>7302.8600000000006</v>
      </c>
      <c r="AB24" s="55">
        <v>14455.4</v>
      </c>
      <c r="AC24" s="55">
        <v>46987.14</v>
      </c>
      <c r="AD24" s="55">
        <v>9123.99</v>
      </c>
      <c r="AE24" s="55">
        <v>7495.3627272727281</v>
      </c>
      <c r="AF24" s="55">
        <v>32519.85666666667</v>
      </c>
      <c r="AG24" s="55">
        <v>12254.48</v>
      </c>
      <c r="AH24" s="55">
        <v>9324.2271428571421</v>
      </c>
      <c r="AI24" s="55">
        <v>9813.232</v>
      </c>
      <c r="AJ24" s="55">
        <v>7075.1679999999997</v>
      </c>
      <c r="AK24" s="55">
        <v>9519.3144444444442</v>
      </c>
      <c r="AL24" s="55">
        <v>11235.775</v>
      </c>
      <c r="AM24" s="55">
        <v>14005.609333333334</v>
      </c>
      <c r="AN24" s="55">
        <v>28475.883333333331</v>
      </c>
    </row>
    <row r="26" spans="1:40" x14ac:dyDescent="0.25">
      <c r="A26" s="55" t="s">
        <v>1051</v>
      </c>
      <c r="O26" s="55" t="s">
        <v>1053</v>
      </c>
    </row>
    <row r="27" spans="1:40" x14ac:dyDescent="0.25">
      <c r="B27" s="56" t="s">
        <v>1033</v>
      </c>
      <c r="C27" s="56" t="s">
        <v>1032</v>
      </c>
      <c r="D27" s="56" t="s">
        <v>1031</v>
      </c>
      <c r="E27" s="56" t="s">
        <v>1030</v>
      </c>
      <c r="F27" s="56" t="s">
        <v>1029</v>
      </c>
      <c r="G27" s="56" t="s">
        <v>1028</v>
      </c>
      <c r="H27" s="56" t="s">
        <v>1027</v>
      </c>
      <c r="I27" s="56" t="s">
        <v>1026</v>
      </c>
      <c r="J27" s="56" t="s">
        <v>1025</v>
      </c>
      <c r="K27" s="56" t="s">
        <v>1024</v>
      </c>
      <c r="L27" s="56" t="s">
        <v>1023</v>
      </c>
      <c r="M27" s="56" t="s">
        <v>1022</v>
      </c>
      <c r="P27" s="56" t="s">
        <v>1047</v>
      </c>
      <c r="Q27" s="56" t="s">
        <v>1046</v>
      </c>
      <c r="R27" s="56" t="s">
        <v>1045</v>
      </c>
      <c r="S27" s="56" t="s">
        <v>1044</v>
      </c>
      <c r="T27" s="56" t="s">
        <v>1043</v>
      </c>
      <c r="U27" s="56" t="s">
        <v>1042</v>
      </c>
      <c r="V27" s="56" t="s">
        <v>1041</v>
      </c>
      <c r="W27" s="56" t="s">
        <v>1040</v>
      </c>
      <c r="X27" s="56" t="s">
        <v>1039</v>
      </c>
      <c r="Y27" s="56" t="s">
        <v>1038</v>
      </c>
      <c r="Z27" s="56" t="s">
        <v>1037</v>
      </c>
      <c r="AA27" s="56" t="s">
        <v>1036</v>
      </c>
      <c r="AB27" s="56" t="s">
        <v>1035</v>
      </c>
      <c r="AC27" s="56" t="s">
        <v>1033</v>
      </c>
      <c r="AD27" s="56" t="s">
        <v>1032</v>
      </c>
      <c r="AE27" s="56" t="s">
        <v>1031</v>
      </c>
      <c r="AF27" s="56" t="s">
        <v>1030</v>
      </c>
      <c r="AG27" s="56" t="s">
        <v>1029</v>
      </c>
      <c r="AH27" s="56" t="s">
        <v>1028</v>
      </c>
      <c r="AI27" s="56" t="s">
        <v>1027</v>
      </c>
      <c r="AJ27" s="56" t="s">
        <v>1026</v>
      </c>
      <c r="AK27" s="56" t="s">
        <v>1025</v>
      </c>
      <c r="AL27" s="56" t="s">
        <v>1024</v>
      </c>
      <c r="AM27" s="56" t="s">
        <v>1023</v>
      </c>
      <c r="AN27" s="56" t="s">
        <v>1022</v>
      </c>
    </row>
    <row r="28" spans="1:40" x14ac:dyDescent="0.25">
      <c r="A28" s="55" t="s">
        <v>25</v>
      </c>
      <c r="B28" s="55">
        <v>0</v>
      </c>
      <c r="C28" s="55">
        <v>0</v>
      </c>
      <c r="D28" s="55">
        <v>0</v>
      </c>
      <c r="E28" s="55">
        <v>0</v>
      </c>
      <c r="F28" s="55">
        <v>0</v>
      </c>
      <c r="G28" s="55">
        <v>0</v>
      </c>
      <c r="H28" s="55">
        <v>0</v>
      </c>
      <c r="I28" s="55">
        <v>0</v>
      </c>
      <c r="J28" s="55">
        <v>0</v>
      </c>
      <c r="K28" s="55">
        <v>0</v>
      </c>
      <c r="L28" s="55">
        <v>0</v>
      </c>
      <c r="M28" s="55">
        <v>0</v>
      </c>
      <c r="O28" s="55" t="s">
        <v>25</v>
      </c>
      <c r="P28" s="55">
        <v>0</v>
      </c>
      <c r="Q28" s="55">
        <v>0</v>
      </c>
      <c r="R28" s="55">
        <v>0</v>
      </c>
      <c r="S28" s="55">
        <v>0</v>
      </c>
      <c r="T28" s="55">
        <v>0</v>
      </c>
      <c r="U28" s="55">
        <v>0</v>
      </c>
      <c r="V28" s="55">
        <v>0</v>
      </c>
      <c r="W28" s="55">
        <v>0</v>
      </c>
      <c r="X28" s="55">
        <v>0</v>
      </c>
      <c r="Y28" s="55">
        <v>0</v>
      </c>
      <c r="Z28" s="55">
        <v>0</v>
      </c>
      <c r="AA28" s="55">
        <v>0</v>
      </c>
      <c r="AB28" s="55">
        <v>0</v>
      </c>
      <c r="AC28" s="55">
        <v>0</v>
      </c>
      <c r="AD28" s="55">
        <v>0</v>
      </c>
      <c r="AE28" s="55">
        <v>0</v>
      </c>
      <c r="AF28" s="55">
        <v>0</v>
      </c>
      <c r="AG28" s="55">
        <v>0</v>
      </c>
      <c r="AH28" s="55">
        <v>0</v>
      </c>
      <c r="AI28" s="55">
        <v>0</v>
      </c>
      <c r="AJ28" s="55">
        <v>0</v>
      </c>
      <c r="AK28" s="55">
        <v>0</v>
      </c>
      <c r="AL28" s="55">
        <v>0</v>
      </c>
      <c r="AM28" s="55">
        <v>0</v>
      </c>
      <c r="AN28" s="55">
        <v>0</v>
      </c>
    </row>
    <row r="29" spans="1:40" x14ac:dyDescent="0.25">
      <c r="A29" s="55" t="s">
        <v>24</v>
      </c>
      <c r="B29" s="55">
        <v>67.468260869565214</v>
      </c>
      <c r="C29" s="55">
        <v>73.518000000000001</v>
      </c>
      <c r="D29" s="55">
        <v>67.293333333333337</v>
      </c>
      <c r="E29" s="55">
        <v>68.298888888888897</v>
      </c>
      <c r="F29" s="55">
        <v>79.962400000000002</v>
      </c>
      <c r="G29" s="55">
        <v>90.933492063492068</v>
      </c>
      <c r="H29" s="55">
        <v>82.436037735849055</v>
      </c>
      <c r="I29" s="55">
        <v>68.607692307692304</v>
      </c>
      <c r="J29" s="55">
        <v>84.166666666666671</v>
      </c>
      <c r="K29" s="55">
        <v>73.558787878787882</v>
      </c>
      <c r="L29" s="55">
        <v>86.056250000000006</v>
      </c>
      <c r="M29" s="55">
        <v>89.434666666666672</v>
      </c>
      <c r="O29" s="55" t="s">
        <v>24</v>
      </c>
      <c r="P29" s="55">
        <v>119.5</v>
      </c>
      <c r="Q29" s="55">
        <v>97.388888888888886</v>
      </c>
      <c r="R29" s="55">
        <v>81.882916666666674</v>
      </c>
      <c r="S29" s="55">
        <v>74.173913043478265</v>
      </c>
      <c r="T29" s="55">
        <v>81.520714285714277</v>
      </c>
      <c r="U29" s="55">
        <v>88.418709677419358</v>
      </c>
      <c r="V29" s="55">
        <v>90.81880952380952</v>
      </c>
      <c r="W29" s="55">
        <v>75.745208333333338</v>
      </c>
      <c r="X29" s="55">
        <v>86.82</v>
      </c>
      <c r="Y29" s="55">
        <v>75.441428571428574</v>
      </c>
      <c r="Z29" s="55">
        <v>75.454545454545453</v>
      </c>
      <c r="AA29" s="55">
        <v>93.240740740740748</v>
      </c>
      <c r="AB29" s="55">
        <v>82.211600000000004</v>
      </c>
      <c r="AC29" s="55">
        <v>67.468260869565214</v>
      </c>
      <c r="AD29" s="55">
        <v>73.518000000000001</v>
      </c>
      <c r="AE29" s="55">
        <v>67.293333333333337</v>
      </c>
      <c r="AF29" s="55">
        <v>68.298888888888897</v>
      </c>
      <c r="AG29" s="55">
        <v>79.962400000000002</v>
      </c>
      <c r="AH29" s="55">
        <v>90.933492063492068</v>
      </c>
      <c r="AI29" s="55">
        <v>82.436037735849055</v>
      </c>
      <c r="AJ29" s="55">
        <v>68.607692307692304</v>
      </c>
      <c r="AK29" s="55">
        <v>84.166666666666671</v>
      </c>
      <c r="AL29" s="55">
        <v>73.558787878787882</v>
      </c>
      <c r="AM29" s="55">
        <v>86.056250000000006</v>
      </c>
      <c r="AN29" s="55">
        <v>89.434666666666672</v>
      </c>
    </row>
    <row r="30" spans="1:40" x14ac:dyDescent="0.25">
      <c r="A30" s="55" t="s">
        <v>23</v>
      </c>
      <c r="B30" s="55">
        <v>70.115789473684217</v>
      </c>
      <c r="C30" s="55">
        <v>72.758571428571429</v>
      </c>
      <c r="D30" s="55">
        <v>72.176666666666662</v>
      </c>
      <c r="E30" s="55">
        <v>86.672941176470587</v>
      </c>
      <c r="F30" s="55">
        <v>75.97</v>
      </c>
      <c r="G30" s="55">
        <v>83.382258064516122</v>
      </c>
      <c r="H30" s="55">
        <v>82.613461538461536</v>
      </c>
      <c r="I30" s="55">
        <v>79.456666666666663</v>
      </c>
      <c r="J30" s="55">
        <v>83.978235294117653</v>
      </c>
      <c r="K30" s="55">
        <v>71.334516129032252</v>
      </c>
      <c r="L30" s="55">
        <v>81.16185185185185</v>
      </c>
      <c r="M30" s="55">
        <v>80.332307692307694</v>
      </c>
      <c r="O30" s="55" t="s">
        <v>23</v>
      </c>
      <c r="P30" s="55">
        <v>83.8</v>
      </c>
      <c r="Q30" s="55">
        <v>83.15</v>
      </c>
      <c r="R30" s="55">
        <v>76.939499999999995</v>
      </c>
      <c r="S30" s="55">
        <v>80.5059090909091</v>
      </c>
      <c r="T30" s="55">
        <v>87.179999999999993</v>
      </c>
      <c r="U30" s="55">
        <v>85.712592592592586</v>
      </c>
      <c r="V30" s="55">
        <v>61.626052631578943</v>
      </c>
      <c r="W30" s="55">
        <v>80.048863636363635</v>
      </c>
      <c r="X30" s="55">
        <v>81.945999999999998</v>
      </c>
      <c r="Y30" s="55">
        <v>81.954285714285717</v>
      </c>
      <c r="Z30" s="55">
        <v>74.672272727272727</v>
      </c>
      <c r="AA30" s="55">
        <v>83.718846153846158</v>
      </c>
      <c r="AB30" s="55">
        <v>78.899230769230769</v>
      </c>
      <c r="AC30" s="55">
        <v>70.115789473684217</v>
      </c>
      <c r="AD30" s="55">
        <v>72.758571428571429</v>
      </c>
      <c r="AE30" s="55">
        <v>72.176666666666662</v>
      </c>
      <c r="AF30" s="55">
        <v>86.672941176470587</v>
      </c>
      <c r="AG30" s="55">
        <v>75.97</v>
      </c>
      <c r="AH30" s="55">
        <v>83.382258064516122</v>
      </c>
      <c r="AI30" s="55">
        <v>82.613461538461536</v>
      </c>
      <c r="AJ30" s="55">
        <v>79.456666666666663</v>
      </c>
      <c r="AK30" s="55">
        <v>83.978235294117653</v>
      </c>
      <c r="AL30" s="55">
        <v>71.334516129032252</v>
      </c>
      <c r="AM30" s="55">
        <v>81.16185185185185</v>
      </c>
      <c r="AN30" s="55">
        <v>80.332307692307694</v>
      </c>
    </row>
    <row r="31" spans="1:40" x14ac:dyDescent="0.25">
      <c r="A31" s="55" t="s">
        <v>22</v>
      </c>
      <c r="B31" s="55">
        <v>51.43035714285714</v>
      </c>
      <c r="C31" s="55">
        <v>50.55952380952381</v>
      </c>
      <c r="D31" s="55">
        <v>58.688461538461539</v>
      </c>
      <c r="E31" s="55">
        <v>64.36484848484848</v>
      </c>
      <c r="F31" s="55">
        <v>58.960256410256406</v>
      </c>
      <c r="G31" s="55">
        <v>63.32741935483871</v>
      </c>
      <c r="H31" s="55">
        <v>62.57692307692308</v>
      </c>
      <c r="I31" s="55">
        <v>61.80263157894737</v>
      </c>
      <c r="J31" s="55">
        <v>61.677083333333336</v>
      </c>
      <c r="K31" s="55">
        <v>55.695121951219512</v>
      </c>
      <c r="L31" s="55">
        <v>59.58461538461539</v>
      </c>
      <c r="M31" s="55">
        <v>56.61944444444444</v>
      </c>
      <c r="O31" s="55" t="s">
        <v>22</v>
      </c>
      <c r="P31" s="55">
        <v>58</v>
      </c>
      <c r="Q31" s="55">
        <v>59.582000000000001</v>
      </c>
      <c r="R31" s="55">
        <v>59.309285714285714</v>
      </c>
      <c r="S31" s="55">
        <v>60.806666666666665</v>
      </c>
      <c r="T31" s="55">
        <v>58.25</v>
      </c>
      <c r="U31" s="55">
        <v>62.127659574468083</v>
      </c>
      <c r="V31" s="55">
        <v>55.8515625</v>
      </c>
      <c r="W31" s="55">
        <v>56.896575342465752</v>
      </c>
      <c r="X31" s="55">
        <v>65.642727272727271</v>
      </c>
      <c r="Y31" s="55">
        <v>57.529743589743589</v>
      </c>
      <c r="Z31" s="55">
        <v>56.017741935483869</v>
      </c>
      <c r="AA31" s="55">
        <v>58.084285714285713</v>
      </c>
      <c r="AB31" s="55">
        <v>62.210810810810813</v>
      </c>
      <c r="AC31" s="55">
        <v>51.43035714285714</v>
      </c>
      <c r="AD31" s="55">
        <v>50.55952380952381</v>
      </c>
      <c r="AE31" s="55">
        <v>58.688461538461539</v>
      </c>
      <c r="AF31" s="55">
        <v>64.36484848484848</v>
      </c>
      <c r="AG31" s="55">
        <v>58.960256410256406</v>
      </c>
      <c r="AH31" s="55">
        <v>63.32741935483871</v>
      </c>
      <c r="AI31" s="55">
        <v>62.57692307692308</v>
      </c>
      <c r="AJ31" s="55">
        <v>61.80263157894737</v>
      </c>
      <c r="AK31" s="55">
        <v>61.677083333333336</v>
      </c>
      <c r="AL31" s="55">
        <v>55.695121951219512</v>
      </c>
      <c r="AM31" s="55">
        <v>59.58461538461539</v>
      </c>
      <c r="AN31" s="55">
        <v>56.61944444444444</v>
      </c>
    </row>
    <row r="32" spans="1:40" x14ac:dyDescent="0.25">
      <c r="A32" s="55" t="s">
        <v>21</v>
      </c>
      <c r="B32" s="55">
        <v>92.278571428571439</v>
      </c>
      <c r="C32" s="55">
        <v>102.7</v>
      </c>
      <c r="D32" s="55">
        <v>90.016666666666666</v>
      </c>
      <c r="E32" s="55">
        <v>51.195999999999998</v>
      </c>
      <c r="F32" s="55">
        <v>93.524999999999991</v>
      </c>
      <c r="G32" s="55">
        <v>83.55925925925925</v>
      </c>
      <c r="H32" s="55">
        <v>68.305555555555557</v>
      </c>
      <c r="I32" s="55">
        <v>81.166666666666671</v>
      </c>
      <c r="J32" s="55">
        <v>92.604166666666671</v>
      </c>
      <c r="K32" s="55">
        <v>73.214285714285708</v>
      </c>
      <c r="L32" s="55">
        <v>79.742857142857147</v>
      </c>
      <c r="M32" s="55">
        <v>102.0625</v>
      </c>
      <c r="O32" s="55" t="s">
        <v>21</v>
      </c>
      <c r="P32" s="55">
        <v>57</v>
      </c>
      <c r="Q32" s="55">
        <v>94.668750000000003</v>
      </c>
      <c r="R32" s="55">
        <v>82.165000000000006</v>
      </c>
      <c r="S32" s="55">
        <v>68.161111111111111</v>
      </c>
      <c r="T32" s="55">
        <v>82.5625</v>
      </c>
      <c r="U32" s="55">
        <v>83.390625</v>
      </c>
      <c r="V32" s="55">
        <v>124.26190476190476</v>
      </c>
      <c r="W32" s="55">
        <v>74.422727272727272</v>
      </c>
      <c r="X32" s="55">
        <v>76.899999999999991</v>
      </c>
      <c r="Y32" s="55">
        <v>69.985384615384618</v>
      </c>
      <c r="Z32" s="55">
        <v>92.477272727272734</v>
      </c>
      <c r="AA32" s="55">
        <v>92.35499999999999</v>
      </c>
      <c r="AB32" s="55">
        <v>61</v>
      </c>
      <c r="AC32" s="55">
        <v>92.278571428571439</v>
      </c>
      <c r="AD32" s="55">
        <v>102.7</v>
      </c>
      <c r="AE32" s="55">
        <v>90.016666666666666</v>
      </c>
      <c r="AF32" s="55">
        <v>51.195999999999998</v>
      </c>
      <c r="AG32" s="55">
        <v>93.524999999999991</v>
      </c>
      <c r="AH32" s="55">
        <v>83.55925925925925</v>
      </c>
      <c r="AI32" s="55">
        <v>68.305555555555557</v>
      </c>
      <c r="AJ32" s="55">
        <v>81.166666666666671</v>
      </c>
      <c r="AK32" s="55">
        <v>92.604166666666671</v>
      </c>
      <c r="AL32" s="55">
        <v>73.214285714285708</v>
      </c>
      <c r="AM32" s="55">
        <v>79.742857142857147</v>
      </c>
      <c r="AN32" s="55">
        <v>102.0625</v>
      </c>
    </row>
    <row r="34" spans="1:15" x14ac:dyDescent="0.25">
      <c r="A34" s="55" t="s">
        <v>1054</v>
      </c>
      <c r="E34" s="55" t="s">
        <v>1055</v>
      </c>
      <c r="I34" s="55" t="s">
        <v>1056</v>
      </c>
      <c r="L34" s="55" t="s">
        <v>1081</v>
      </c>
    </row>
    <row r="35" spans="1:15" x14ac:dyDescent="0.25">
      <c r="B35" s="54">
        <v>2017</v>
      </c>
      <c r="C35" s="54">
        <v>2018</v>
      </c>
      <c r="F35" s="55" t="s">
        <v>1018</v>
      </c>
      <c r="G35" s="55" t="s">
        <v>1017</v>
      </c>
      <c r="J35" s="56" t="s">
        <v>1020</v>
      </c>
      <c r="L35" s="54"/>
      <c r="M35" s="54">
        <v>2017</v>
      </c>
      <c r="N35" s="54">
        <v>2018</v>
      </c>
      <c r="O35" s="55" t="s">
        <v>1017</v>
      </c>
    </row>
    <row r="36" spans="1:15" x14ac:dyDescent="0.25">
      <c r="A36" s="55" t="s">
        <v>1001</v>
      </c>
      <c r="B36" s="55">
        <v>5327923.49</v>
      </c>
      <c r="C36" s="55">
        <v>5190351.5600000005</v>
      </c>
      <c r="E36" s="55" t="s">
        <v>1001</v>
      </c>
      <c r="F36" s="55">
        <v>5537019.6900000004</v>
      </c>
      <c r="G36" s="55">
        <v>5245433.5600000005</v>
      </c>
      <c r="I36" s="55" t="s">
        <v>1001</v>
      </c>
      <c r="J36" s="55">
        <v>291576.45999999996</v>
      </c>
      <c r="L36" s="55" t="s">
        <v>1001</v>
      </c>
      <c r="M36" s="55">
        <v>5327923.49</v>
      </c>
      <c r="N36" s="55">
        <v>5190351.5600000005</v>
      </c>
      <c r="O36" s="55">
        <v>5245433.5600000005</v>
      </c>
    </row>
    <row r="37" spans="1:15" x14ac:dyDescent="0.25">
      <c r="A37" s="55" t="s">
        <v>1003</v>
      </c>
      <c r="B37" s="55">
        <v>965453.79</v>
      </c>
      <c r="C37" s="55">
        <v>1220986.68</v>
      </c>
      <c r="E37" s="55" t="s">
        <v>1003</v>
      </c>
      <c r="F37" s="55">
        <v>1026069.9500000001</v>
      </c>
      <c r="G37" s="55">
        <v>1223711.8600000001</v>
      </c>
      <c r="I37" s="55" t="s">
        <v>1003</v>
      </c>
      <c r="J37" s="55">
        <v>68314.850000000006</v>
      </c>
      <c r="L37" s="55" t="s">
        <v>1003</v>
      </c>
      <c r="M37" s="55">
        <v>965453.79</v>
      </c>
      <c r="N37" s="55">
        <v>1220986.68</v>
      </c>
      <c r="O37" s="55">
        <v>1223711.8600000001</v>
      </c>
    </row>
    <row r="38" spans="1:15" x14ac:dyDescent="0.25">
      <c r="A38" s="55" t="s">
        <v>1007</v>
      </c>
      <c r="B38" s="55">
        <v>80129.69</v>
      </c>
      <c r="C38" s="55">
        <v>93580.63</v>
      </c>
      <c r="E38" s="55" t="s">
        <v>1007</v>
      </c>
      <c r="F38" s="55">
        <v>86333.560000000012</v>
      </c>
      <c r="G38" s="55">
        <v>90436.400000000009</v>
      </c>
      <c r="I38" s="55" t="s">
        <v>1007</v>
      </c>
      <c r="J38" s="55">
        <v>3813.2400000000002</v>
      </c>
      <c r="L38" s="55" t="s">
        <v>1007</v>
      </c>
      <c r="M38" s="55">
        <v>80129.69</v>
      </c>
      <c r="N38" s="55">
        <v>93580.63</v>
      </c>
      <c r="O38" s="55">
        <v>90436.400000000009</v>
      </c>
    </row>
    <row r="40" spans="1:15" x14ac:dyDescent="0.25">
      <c r="A40" s="55" t="s">
        <v>1057</v>
      </c>
      <c r="E40" s="55" t="s">
        <v>1060</v>
      </c>
      <c r="I40" s="55" t="s">
        <v>1063</v>
      </c>
    </row>
    <row r="41" spans="1:15" x14ac:dyDescent="0.25">
      <c r="B41" s="54">
        <v>2017</v>
      </c>
      <c r="C41" s="54">
        <v>2018</v>
      </c>
      <c r="F41" s="55" t="s">
        <v>1018</v>
      </c>
      <c r="G41" s="55" t="s">
        <v>1017</v>
      </c>
      <c r="J41" s="56" t="s">
        <v>1020</v>
      </c>
    </row>
    <row r="42" spans="1:15" x14ac:dyDescent="0.25">
      <c r="A42" s="55" t="s">
        <v>964</v>
      </c>
      <c r="B42" s="55">
        <v>1610936.2900000003</v>
      </c>
      <c r="C42" s="55">
        <v>1960988.7399999998</v>
      </c>
      <c r="E42" s="55" t="s">
        <v>964</v>
      </c>
      <c r="F42" s="55">
        <v>1726264.97</v>
      </c>
      <c r="G42" s="55">
        <v>1905282.6500000001</v>
      </c>
      <c r="I42" s="55" t="s">
        <v>964</v>
      </c>
      <c r="J42" s="55">
        <v>62606.22</v>
      </c>
    </row>
    <row r="43" spans="1:15" x14ac:dyDescent="0.25">
      <c r="A43" s="55" t="s">
        <v>1002</v>
      </c>
      <c r="B43" s="55">
        <v>148064.84</v>
      </c>
      <c r="C43" s="55">
        <v>182339.22999999998</v>
      </c>
      <c r="E43" s="55" t="s">
        <v>1002</v>
      </c>
      <c r="F43" s="55">
        <v>164804.07999999999</v>
      </c>
      <c r="G43" s="55">
        <v>166287.65999999997</v>
      </c>
      <c r="I43" s="55" t="s">
        <v>1002</v>
      </c>
      <c r="J43" s="55">
        <v>1834.71</v>
      </c>
    </row>
    <row r="44" spans="1:15" x14ac:dyDescent="0.25">
      <c r="A44" s="55" t="s">
        <v>962</v>
      </c>
      <c r="B44" s="55">
        <v>1578840.5899999999</v>
      </c>
      <c r="C44" s="55">
        <v>1595359.5900000003</v>
      </c>
      <c r="E44" s="55" t="s">
        <v>962</v>
      </c>
      <c r="F44" s="55">
        <v>1647582.24</v>
      </c>
      <c r="G44" s="55">
        <v>1567370.82</v>
      </c>
      <c r="I44" s="55" t="s">
        <v>962</v>
      </c>
      <c r="J44" s="55">
        <v>52048.91</v>
      </c>
    </row>
    <row r="45" spans="1:15" x14ac:dyDescent="0.25">
      <c r="A45" s="55" t="s">
        <v>961</v>
      </c>
      <c r="B45" s="55">
        <v>151412.04</v>
      </c>
      <c r="C45" s="55">
        <v>163817.65</v>
      </c>
      <c r="E45" s="55" t="s">
        <v>961</v>
      </c>
      <c r="F45" s="55">
        <v>156688.96999999997</v>
      </c>
      <c r="G45" s="55">
        <v>162246.18</v>
      </c>
      <c r="I45" s="55" t="s">
        <v>961</v>
      </c>
      <c r="J45" s="55">
        <v>4231.32</v>
      </c>
    </row>
    <row r="46" spans="1:15" x14ac:dyDescent="0.25">
      <c r="A46" s="55" t="s">
        <v>960</v>
      </c>
      <c r="B46" s="55">
        <v>1838669.7300000004</v>
      </c>
      <c r="C46" s="55">
        <v>1287846.3500000001</v>
      </c>
      <c r="E46" s="55" t="s">
        <v>960</v>
      </c>
      <c r="F46" s="55">
        <v>1841679.43</v>
      </c>
      <c r="G46" s="55">
        <v>1444246.25</v>
      </c>
      <c r="I46" s="55" t="s">
        <v>960</v>
      </c>
      <c r="J46" s="55">
        <v>170855.3</v>
      </c>
    </row>
    <row r="48" spans="1:15" x14ac:dyDescent="0.25">
      <c r="A48" s="55" t="s">
        <v>1058</v>
      </c>
      <c r="E48" s="55" t="s">
        <v>1061</v>
      </c>
      <c r="I48" s="55" t="s">
        <v>1064</v>
      </c>
    </row>
    <row r="49" spans="1:10" x14ac:dyDescent="0.25">
      <c r="B49" s="54">
        <v>2017</v>
      </c>
      <c r="C49" s="54">
        <v>2018</v>
      </c>
      <c r="F49" s="55" t="s">
        <v>1018</v>
      </c>
      <c r="G49" s="55" t="s">
        <v>1017</v>
      </c>
      <c r="J49" s="56" t="s">
        <v>1020</v>
      </c>
    </row>
    <row r="50" spans="1:10" x14ac:dyDescent="0.25">
      <c r="A50" s="55" t="s">
        <v>1006</v>
      </c>
      <c r="B50" s="55">
        <v>405089.24</v>
      </c>
      <c r="C50" s="55">
        <v>619775.25</v>
      </c>
      <c r="E50" s="55" t="s">
        <v>1006</v>
      </c>
      <c r="F50" s="55">
        <v>432841.04000000004</v>
      </c>
      <c r="G50" s="55">
        <v>631003.94000000018</v>
      </c>
      <c r="I50" s="55" t="s">
        <v>1006</v>
      </c>
      <c r="J50" s="55">
        <v>42766.46</v>
      </c>
    </row>
    <row r="51" spans="1:10" x14ac:dyDescent="0.25">
      <c r="A51" s="55" t="s">
        <v>1005</v>
      </c>
      <c r="B51" s="55">
        <v>221177.78999999998</v>
      </c>
      <c r="C51" s="55">
        <v>245373.66000000003</v>
      </c>
      <c r="E51" s="55" t="s">
        <v>1005</v>
      </c>
      <c r="F51" s="55">
        <v>231840.47</v>
      </c>
      <c r="G51" s="55">
        <v>252390.07999999996</v>
      </c>
      <c r="I51" s="55" t="s">
        <v>1005</v>
      </c>
      <c r="J51" s="55">
        <v>18202.61</v>
      </c>
    </row>
    <row r="52" spans="1:10" x14ac:dyDescent="0.25">
      <c r="A52" s="55" t="s">
        <v>1004</v>
      </c>
      <c r="B52" s="55">
        <v>744276</v>
      </c>
      <c r="C52" s="55">
        <v>975613.02</v>
      </c>
      <c r="E52" s="55" t="s">
        <v>1004</v>
      </c>
      <c r="F52" s="55">
        <v>794229.4800000001</v>
      </c>
      <c r="G52" s="55">
        <v>971321.77999999991</v>
      </c>
      <c r="I52" s="55" t="s">
        <v>1004</v>
      </c>
      <c r="J52" s="55">
        <v>50112.24</v>
      </c>
    </row>
    <row r="54" spans="1:10" x14ac:dyDescent="0.25">
      <c r="A54" s="55" t="s">
        <v>1059</v>
      </c>
      <c r="E54" s="55" t="s">
        <v>1062</v>
      </c>
      <c r="I54" s="55" t="s">
        <v>1065</v>
      </c>
    </row>
    <row r="55" spans="1:10" x14ac:dyDescent="0.25">
      <c r="B55" s="54">
        <v>2017</v>
      </c>
      <c r="C55" s="54">
        <v>2018</v>
      </c>
      <c r="F55" s="55" t="s">
        <v>1018</v>
      </c>
      <c r="G55" s="55" t="s">
        <v>1017</v>
      </c>
      <c r="J55" s="56" t="s">
        <v>1020</v>
      </c>
    </row>
    <row r="56" spans="1:10" x14ac:dyDescent="0.25">
      <c r="A56" s="55" t="s">
        <v>25</v>
      </c>
      <c r="B56" s="55">
        <v>0</v>
      </c>
      <c r="C56" s="55">
        <v>0</v>
      </c>
      <c r="E56" s="55" t="s">
        <v>25</v>
      </c>
      <c r="F56" s="55">
        <v>0</v>
      </c>
      <c r="G56" s="55">
        <v>0</v>
      </c>
      <c r="I56" s="55" t="s">
        <v>25</v>
      </c>
      <c r="J56" s="55">
        <v>0</v>
      </c>
    </row>
    <row r="57" spans="1:10" x14ac:dyDescent="0.25">
      <c r="A57" s="55" t="s">
        <v>24</v>
      </c>
      <c r="B57" s="55">
        <v>24059.69</v>
      </c>
      <c r="C57" s="55">
        <v>27736.5</v>
      </c>
      <c r="E57" s="55" t="s">
        <v>24</v>
      </c>
      <c r="F57" s="55">
        <v>25875.98</v>
      </c>
      <c r="G57" s="55">
        <v>27022.730000000007</v>
      </c>
      <c r="I57" s="55" t="s">
        <v>24</v>
      </c>
      <c r="J57" s="55">
        <v>1341.52</v>
      </c>
    </row>
    <row r="58" spans="1:10" x14ac:dyDescent="0.25">
      <c r="A58" s="55" t="s">
        <v>23</v>
      </c>
      <c r="B58" s="55">
        <v>20793.91</v>
      </c>
      <c r="C58" s="55">
        <v>25529.229999999996</v>
      </c>
      <c r="E58" s="55" t="s">
        <v>23</v>
      </c>
      <c r="F58" s="55">
        <v>22677.69</v>
      </c>
      <c r="G58" s="55">
        <v>24522.170000000002</v>
      </c>
      <c r="I58" s="55" t="s">
        <v>23</v>
      </c>
      <c r="J58" s="55">
        <v>1044.32</v>
      </c>
    </row>
    <row r="59" spans="1:10" x14ac:dyDescent="0.25">
      <c r="A59" s="55" t="s">
        <v>22</v>
      </c>
      <c r="B59" s="55">
        <v>24709.41</v>
      </c>
      <c r="C59" s="55">
        <v>29846.99</v>
      </c>
      <c r="E59" s="55" t="s">
        <v>22</v>
      </c>
      <c r="F59" s="55">
        <v>26721.21</v>
      </c>
      <c r="G59" s="55">
        <v>28564.340000000004</v>
      </c>
      <c r="I59" s="55" t="s">
        <v>22</v>
      </c>
      <c r="J59" s="55">
        <v>1019.15</v>
      </c>
    </row>
    <row r="60" spans="1:10" x14ac:dyDescent="0.25">
      <c r="A60" s="55" t="s">
        <v>21</v>
      </c>
      <c r="B60" s="55">
        <v>10566.679999999998</v>
      </c>
      <c r="C60" s="55">
        <v>10467.91</v>
      </c>
      <c r="E60" s="55" t="s">
        <v>21</v>
      </c>
      <c r="F60" s="55">
        <v>11058.68</v>
      </c>
      <c r="G60" s="55">
        <v>10327.16</v>
      </c>
      <c r="I60" s="55" t="s">
        <v>21</v>
      </c>
      <c r="J60" s="55">
        <v>408.25</v>
      </c>
    </row>
    <row r="62" spans="1:10" x14ac:dyDescent="0.25">
      <c r="A62" s="55" t="s">
        <v>1066</v>
      </c>
      <c r="E62" s="55" t="s">
        <v>1069</v>
      </c>
      <c r="I62" s="55" t="s">
        <v>1072</v>
      </c>
    </row>
    <row r="63" spans="1:10" x14ac:dyDescent="0.25">
      <c r="B63" s="54">
        <v>2017</v>
      </c>
      <c r="C63" s="54">
        <v>2018</v>
      </c>
      <c r="F63" s="55" t="s">
        <v>1018</v>
      </c>
      <c r="G63" s="55" t="s">
        <v>1017</v>
      </c>
      <c r="J63" s="56" t="s">
        <v>1020</v>
      </c>
    </row>
    <row r="64" spans="1:10" x14ac:dyDescent="0.25">
      <c r="A64" s="55" t="s">
        <v>964</v>
      </c>
      <c r="B64" s="55">
        <v>3579.858422222223</v>
      </c>
      <c r="C64" s="55">
        <v>4357.7527555555553</v>
      </c>
      <c r="E64" s="55" t="s">
        <v>964</v>
      </c>
      <c r="F64" s="55">
        <v>3836.1443777777781</v>
      </c>
      <c r="G64" s="55">
        <v>4233.9614444444442</v>
      </c>
      <c r="I64" s="55" t="s">
        <v>964</v>
      </c>
      <c r="J64" s="55">
        <v>139.12493333333333</v>
      </c>
    </row>
    <row r="65" spans="1:10" x14ac:dyDescent="0.25">
      <c r="A65" s="55" t="s">
        <v>1002</v>
      </c>
      <c r="B65" s="55">
        <v>329.03297777777777</v>
      </c>
      <c r="C65" s="55">
        <v>405.19828888888884</v>
      </c>
      <c r="E65" s="55" t="s">
        <v>1002</v>
      </c>
      <c r="F65" s="55">
        <v>366.23128888888891</v>
      </c>
      <c r="G65" s="55">
        <v>369.52813333333336</v>
      </c>
      <c r="I65" s="55" t="s">
        <v>1002</v>
      </c>
      <c r="J65" s="55">
        <v>4.0771333333333333</v>
      </c>
    </row>
    <row r="66" spans="1:10" x14ac:dyDescent="0.25">
      <c r="A66" s="55" t="s">
        <v>962</v>
      </c>
      <c r="B66" s="55">
        <v>3508.534644444444</v>
      </c>
      <c r="C66" s="55">
        <v>3545.2435333333342</v>
      </c>
      <c r="E66" s="55" t="s">
        <v>962</v>
      </c>
      <c r="F66" s="55">
        <v>3661.2938666666664</v>
      </c>
      <c r="G66" s="55">
        <v>3483.0462666666667</v>
      </c>
      <c r="I66" s="55" t="s">
        <v>962</v>
      </c>
      <c r="J66" s="55">
        <v>115.66424444444445</v>
      </c>
    </row>
    <row r="67" spans="1:10" x14ac:dyDescent="0.25">
      <c r="A67" s="55" t="s">
        <v>961</v>
      </c>
      <c r="B67" s="55">
        <v>336.47120000000001</v>
      </c>
      <c r="C67" s="55">
        <v>364.03922222222224</v>
      </c>
      <c r="E67" s="55" t="s">
        <v>961</v>
      </c>
      <c r="F67" s="55">
        <v>348.19771111111112</v>
      </c>
      <c r="G67" s="55">
        <v>360.54706666666664</v>
      </c>
      <c r="I67" s="55" t="s">
        <v>961</v>
      </c>
      <c r="J67" s="55">
        <v>9.4029333333333334</v>
      </c>
    </row>
    <row r="68" spans="1:10" x14ac:dyDescent="0.25">
      <c r="A68" s="55" t="s">
        <v>960</v>
      </c>
      <c r="B68" s="55">
        <v>4085.9327333333345</v>
      </c>
      <c r="C68" s="55">
        <v>2861.8807777777779</v>
      </c>
      <c r="E68" s="55" t="s">
        <v>960</v>
      </c>
      <c r="F68" s="55">
        <v>4092.6209555555556</v>
      </c>
      <c r="G68" s="55">
        <v>3209.4361111111111</v>
      </c>
      <c r="I68" s="55" t="s">
        <v>960</v>
      </c>
      <c r="J68" s="55">
        <v>379.67844444444444</v>
      </c>
    </row>
    <row r="70" spans="1:10" x14ac:dyDescent="0.25">
      <c r="A70" s="55" t="s">
        <v>1067</v>
      </c>
      <c r="E70" s="55" t="s">
        <v>1070</v>
      </c>
      <c r="I70" s="55" t="s">
        <v>1073</v>
      </c>
    </row>
    <row r="71" spans="1:10" x14ac:dyDescent="0.25">
      <c r="B71" s="54">
        <v>2017</v>
      </c>
      <c r="C71" s="54">
        <v>2018</v>
      </c>
      <c r="F71" s="55" t="s">
        <v>1018</v>
      </c>
      <c r="G71" s="55" t="s">
        <v>1017</v>
      </c>
      <c r="J71" s="56" t="s">
        <v>1020</v>
      </c>
    </row>
    <row r="72" spans="1:10" x14ac:dyDescent="0.25">
      <c r="A72" s="55" t="s">
        <v>1006</v>
      </c>
      <c r="B72" s="55">
        <v>900.19831111111114</v>
      </c>
      <c r="C72" s="55">
        <v>1377.2783333333334</v>
      </c>
      <c r="E72" s="55" t="s">
        <v>1006</v>
      </c>
      <c r="F72" s="55">
        <v>961.86897777777756</v>
      </c>
      <c r="G72" s="55">
        <v>1402.2309777777778</v>
      </c>
      <c r="I72" s="55" t="s">
        <v>1006</v>
      </c>
      <c r="J72" s="55">
        <v>95.036577777777779</v>
      </c>
    </row>
    <row r="73" spans="1:10" x14ac:dyDescent="0.25">
      <c r="A73" s="55" t="s">
        <v>1005</v>
      </c>
      <c r="B73" s="55">
        <v>491.50619999999998</v>
      </c>
      <c r="C73" s="55">
        <v>545.27480000000003</v>
      </c>
      <c r="E73" s="55" t="s">
        <v>1005</v>
      </c>
      <c r="F73" s="55">
        <v>515.20104444444451</v>
      </c>
      <c r="G73" s="55">
        <v>560.8668444444445</v>
      </c>
      <c r="I73" s="55" t="s">
        <v>1005</v>
      </c>
      <c r="J73" s="55">
        <v>40.450244444444444</v>
      </c>
    </row>
    <row r="74" spans="1:10" x14ac:dyDescent="0.25">
      <c r="A74" s="55" t="s">
        <v>1004</v>
      </c>
      <c r="B74" s="55">
        <v>1653.9466666666667</v>
      </c>
      <c r="C74" s="55">
        <v>2168.0289333333335</v>
      </c>
      <c r="E74" s="55" t="s">
        <v>1004</v>
      </c>
      <c r="F74" s="55">
        <v>1764.9543999999999</v>
      </c>
      <c r="G74" s="55">
        <v>2158.4928444444445</v>
      </c>
      <c r="I74" s="55" t="s">
        <v>1004</v>
      </c>
      <c r="J74" s="55">
        <v>111.36053333333332</v>
      </c>
    </row>
    <row r="76" spans="1:10" x14ac:dyDescent="0.25">
      <c r="A76" s="55" t="s">
        <v>1068</v>
      </c>
      <c r="E76" s="55" t="s">
        <v>1071</v>
      </c>
      <c r="I76" s="55" t="s">
        <v>1074</v>
      </c>
    </row>
    <row r="77" spans="1:10" x14ac:dyDescent="0.25">
      <c r="B77" s="54">
        <v>2017</v>
      </c>
      <c r="C77" s="54">
        <v>2018</v>
      </c>
      <c r="F77" s="55" t="s">
        <v>1018</v>
      </c>
      <c r="G77" s="55" t="s">
        <v>1017</v>
      </c>
      <c r="J77" s="56" t="s">
        <v>1020</v>
      </c>
    </row>
    <row r="78" spans="1:10" x14ac:dyDescent="0.25">
      <c r="A78" s="55" t="s">
        <v>25</v>
      </c>
      <c r="B78" s="55">
        <v>0</v>
      </c>
      <c r="C78" s="55">
        <v>0</v>
      </c>
      <c r="E78" s="55" t="s">
        <v>25</v>
      </c>
      <c r="F78" s="55">
        <v>0</v>
      </c>
      <c r="G78" s="55">
        <v>0</v>
      </c>
      <c r="I78" s="55" t="s">
        <v>25</v>
      </c>
      <c r="J78" s="55">
        <v>0</v>
      </c>
    </row>
    <row r="79" spans="1:10" x14ac:dyDescent="0.25">
      <c r="A79" s="55" t="s">
        <v>24</v>
      </c>
      <c r="B79" s="55">
        <v>40.710135363790187</v>
      </c>
      <c r="C79" s="55">
        <v>46.931472081218274</v>
      </c>
      <c r="E79" s="55" t="s">
        <v>24</v>
      </c>
      <c r="F79" s="55">
        <v>43.783384094754652</v>
      </c>
      <c r="G79" s="55">
        <v>45.723739424703894</v>
      </c>
      <c r="I79" s="55" t="s">
        <v>24</v>
      </c>
      <c r="J79" s="55">
        <v>2.2699153976311335</v>
      </c>
    </row>
    <row r="80" spans="1:10" x14ac:dyDescent="0.25">
      <c r="A80" s="55" t="s">
        <v>23</v>
      </c>
      <c r="B80" s="55">
        <v>35.184280879864637</v>
      </c>
      <c r="C80" s="55">
        <v>43.196666666666658</v>
      </c>
      <c r="E80" s="55" t="s">
        <v>23</v>
      </c>
      <c r="F80" s="55">
        <v>38.371725888324868</v>
      </c>
      <c r="G80" s="55">
        <v>41.492673434856179</v>
      </c>
      <c r="I80" s="55" t="s">
        <v>23</v>
      </c>
      <c r="J80" s="55">
        <v>1.7670389170896783</v>
      </c>
    </row>
    <row r="81" spans="1:40" x14ac:dyDescent="0.25">
      <c r="A81" s="55" t="s">
        <v>22</v>
      </c>
      <c r="B81" s="55">
        <v>41.809492385786804</v>
      </c>
      <c r="C81" s="55">
        <v>50.502521150592216</v>
      </c>
      <c r="E81" s="55" t="s">
        <v>22</v>
      </c>
      <c r="F81" s="55">
        <v>45.213553299492389</v>
      </c>
      <c r="G81" s="55">
        <v>48.332216582064298</v>
      </c>
      <c r="I81" s="55" t="s">
        <v>22</v>
      </c>
      <c r="J81" s="55">
        <v>1.7244500846023689</v>
      </c>
    </row>
    <row r="82" spans="1:40" x14ac:dyDescent="0.25">
      <c r="A82" s="55" t="s">
        <v>21</v>
      </c>
      <c r="B82" s="55">
        <v>17.879323181049067</v>
      </c>
      <c r="C82" s="55">
        <v>17.712199661590525</v>
      </c>
      <c r="E82" s="55" t="s">
        <v>21</v>
      </c>
      <c r="F82" s="55">
        <v>18.71181049069374</v>
      </c>
      <c r="G82" s="55">
        <v>17.47404399323181</v>
      </c>
      <c r="I82" s="55" t="s">
        <v>21</v>
      </c>
      <c r="J82" s="55">
        <v>0.69077834179357023</v>
      </c>
    </row>
    <row r="84" spans="1:40" x14ac:dyDescent="0.25">
      <c r="A84" s="55" t="s">
        <v>1075</v>
      </c>
      <c r="O84" s="55" t="s">
        <v>1078</v>
      </c>
    </row>
    <row r="85" spans="1:40" x14ac:dyDescent="0.25">
      <c r="B85" s="56" t="s">
        <v>1033</v>
      </c>
      <c r="C85" s="56" t="s">
        <v>1032</v>
      </c>
      <c r="D85" s="56" t="s">
        <v>1031</v>
      </c>
      <c r="E85" s="56" t="s">
        <v>1030</v>
      </c>
      <c r="F85" s="56" t="s">
        <v>1029</v>
      </c>
      <c r="G85" s="56" t="s">
        <v>1028</v>
      </c>
      <c r="H85" s="56" t="s">
        <v>1027</v>
      </c>
      <c r="I85" s="56" t="s">
        <v>1026</v>
      </c>
      <c r="J85" s="56" t="s">
        <v>1025</v>
      </c>
      <c r="K85" s="56" t="s">
        <v>1024</v>
      </c>
      <c r="L85" s="56" t="s">
        <v>1023</v>
      </c>
      <c r="M85" s="56" t="s">
        <v>1022</v>
      </c>
      <c r="P85" s="56" t="s">
        <v>1047</v>
      </c>
      <c r="Q85" s="56" t="s">
        <v>1046</v>
      </c>
      <c r="R85" s="56" t="s">
        <v>1045</v>
      </c>
      <c r="S85" s="56" t="s">
        <v>1044</v>
      </c>
      <c r="T85" s="56" t="s">
        <v>1043</v>
      </c>
      <c r="U85" s="56" t="s">
        <v>1042</v>
      </c>
      <c r="V85" s="56" t="s">
        <v>1041</v>
      </c>
      <c r="W85" s="56" t="s">
        <v>1040</v>
      </c>
      <c r="X85" s="56" t="s">
        <v>1039</v>
      </c>
      <c r="Y85" s="56" t="s">
        <v>1038</v>
      </c>
      <c r="Z85" s="56" t="s">
        <v>1037</v>
      </c>
      <c r="AA85" s="56" t="s">
        <v>1036</v>
      </c>
      <c r="AB85" s="56" t="s">
        <v>1035</v>
      </c>
      <c r="AC85" s="56" t="s">
        <v>1033</v>
      </c>
      <c r="AD85" s="56" t="s">
        <v>1032</v>
      </c>
      <c r="AE85" s="56" t="s">
        <v>1031</v>
      </c>
      <c r="AF85" s="56" t="s">
        <v>1030</v>
      </c>
      <c r="AG85" s="56" t="s">
        <v>1029</v>
      </c>
      <c r="AH85" s="56" t="s">
        <v>1028</v>
      </c>
      <c r="AI85" s="56" t="s">
        <v>1027</v>
      </c>
      <c r="AJ85" s="56" t="s">
        <v>1026</v>
      </c>
      <c r="AK85" s="56" t="s">
        <v>1025</v>
      </c>
      <c r="AL85" s="56" t="s">
        <v>1024</v>
      </c>
      <c r="AM85" s="56" t="s">
        <v>1023</v>
      </c>
      <c r="AN85" s="56" t="s">
        <v>1022</v>
      </c>
    </row>
    <row r="86" spans="1:40" x14ac:dyDescent="0.25">
      <c r="A86" s="55" t="s">
        <v>964</v>
      </c>
      <c r="B86" s="55">
        <v>102.9115896632733</v>
      </c>
      <c r="C86" s="55">
        <v>85.905019577133913</v>
      </c>
      <c r="D86" s="55">
        <v>113.2466327329679</v>
      </c>
      <c r="E86" s="55">
        <v>155.4728582615505</v>
      </c>
      <c r="F86" s="55">
        <v>124.66293657008615</v>
      </c>
      <c r="G86" s="55">
        <v>102.86148003132341</v>
      </c>
      <c r="H86" s="55">
        <v>232.72759592795614</v>
      </c>
      <c r="I86" s="55">
        <v>123.10505090054815</v>
      </c>
      <c r="J86" s="55">
        <v>132.66832419733751</v>
      </c>
      <c r="K86" s="55">
        <v>121.64524667188725</v>
      </c>
      <c r="L86" s="55">
        <v>147.76619420516835</v>
      </c>
      <c r="M86" s="55">
        <v>49.026014095536418</v>
      </c>
      <c r="O86" s="55" t="s">
        <v>964</v>
      </c>
      <c r="P86" s="55">
        <v>2.3364369616288174</v>
      </c>
      <c r="Q86" s="55">
        <v>89.564635865309313</v>
      </c>
      <c r="R86" s="55">
        <v>72.663249804228656</v>
      </c>
      <c r="S86" s="55">
        <v>83.006562255285829</v>
      </c>
      <c r="T86" s="55">
        <v>94.466836335160522</v>
      </c>
      <c r="U86" s="55">
        <v>148.02041503523884</v>
      </c>
      <c r="V86" s="55">
        <v>97.422725137039947</v>
      </c>
      <c r="W86" s="55">
        <v>159.46507439310884</v>
      </c>
      <c r="X86" s="55">
        <v>104.62054032889584</v>
      </c>
      <c r="Y86" s="55">
        <v>148.87967110415036</v>
      </c>
      <c r="Z86" s="55">
        <v>154.77096319498824</v>
      </c>
      <c r="AA86" s="55">
        <v>106.28350822239625</v>
      </c>
      <c r="AB86" s="55">
        <v>92.648637431480026</v>
      </c>
      <c r="AC86" s="55">
        <v>102.9115896632733</v>
      </c>
      <c r="AD86" s="55">
        <v>85.905019577133913</v>
      </c>
      <c r="AE86" s="55">
        <v>113.2466327329679</v>
      </c>
      <c r="AF86" s="55">
        <v>155.4728582615505</v>
      </c>
      <c r="AG86" s="55">
        <v>124.66293657008615</v>
      </c>
      <c r="AH86" s="55">
        <v>102.86148003132341</v>
      </c>
      <c r="AI86" s="55">
        <v>232.72759592795614</v>
      </c>
      <c r="AJ86" s="55">
        <v>123.10505090054815</v>
      </c>
      <c r="AK86" s="55">
        <v>132.66832419733751</v>
      </c>
      <c r="AL86" s="55">
        <v>121.64524667188725</v>
      </c>
      <c r="AM86" s="55">
        <v>147.76619420516835</v>
      </c>
      <c r="AN86" s="55">
        <v>49.026014095536418</v>
      </c>
    </row>
    <row r="87" spans="1:40" x14ac:dyDescent="0.25">
      <c r="A87" s="55" t="s">
        <v>1002</v>
      </c>
      <c r="B87" s="55">
        <v>12.583461237274863</v>
      </c>
      <c r="C87" s="55">
        <v>4.1268676585747848</v>
      </c>
      <c r="D87" s="55">
        <v>11.970712607674237</v>
      </c>
      <c r="E87" s="55">
        <v>6.3843696162881756</v>
      </c>
      <c r="F87" s="55">
        <v>5.9966953797963978</v>
      </c>
      <c r="G87" s="55">
        <v>14.742701644479249</v>
      </c>
      <c r="H87" s="55">
        <v>13.752270947533281</v>
      </c>
      <c r="I87" s="55">
        <v>5.8493970242756461</v>
      </c>
      <c r="J87" s="55">
        <v>11.464815974941269</v>
      </c>
      <c r="K87" s="55">
        <v>31.176805011746278</v>
      </c>
      <c r="L87" s="55">
        <v>10.732599843382928</v>
      </c>
      <c r="M87" s="55">
        <v>1.436734534064213</v>
      </c>
      <c r="O87" s="55" t="s">
        <v>1002</v>
      </c>
      <c r="P87" s="55">
        <v>0.89823022709475331</v>
      </c>
      <c r="Q87" s="55">
        <v>5.7839154267815198</v>
      </c>
      <c r="R87" s="55">
        <v>12.32482380579483</v>
      </c>
      <c r="S87" s="55">
        <v>9.9191307752545033</v>
      </c>
      <c r="T87" s="55">
        <v>18.583829287392327</v>
      </c>
      <c r="U87" s="55">
        <v>14.669342208300705</v>
      </c>
      <c r="V87" s="55">
        <v>14.944455755677369</v>
      </c>
      <c r="W87" s="55">
        <v>7.5138919342208297</v>
      </c>
      <c r="X87" s="55">
        <v>9.248974158183243</v>
      </c>
      <c r="Y87" s="55">
        <v>8.5578073610023484</v>
      </c>
      <c r="Z87" s="55">
        <v>3.8219420516836333</v>
      </c>
      <c r="AA87" s="55">
        <v>9.6810649960845723</v>
      </c>
      <c r="AB87" s="55">
        <v>14.006483946750194</v>
      </c>
      <c r="AC87" s="55">
        <v>12.583461237274863</v>
      </c>
      <c r="AD87" s="55">
        <v>4.1268676585747848</v>
      </c>
      <c r="AE87" s="55">
        <v>11.970712607674237</v>
      </c>
      <c r="AF87" s="55">
        <v>6.3843696162881756</v>
      </c>
      <c r="AG87" s="55">
        <v>5.9966953797963978</v>
      </c>
      <c r="AH87" s="55">
        <v>14.742701644479249</v>
      </c>
      <c r="AI87" s="55">
        <v>13.752270947533281</v>
      </c>
      <c r="AJ87" s="55">
        <v>5.8493970242756461</v>
      </c>
      <c r="AK87" s="55">
        <v>11.464815974941269</v>
      </c>
      <c r="AL87" s="55">
        <v>31.176805011746278</v>
      </c>
      <c r="AM87" s="55">
        <v>10.732599843382928</v>
      </c>
      <c r="AN87" s="55">
        <v>1.436734534064213</v>
      </c>
    </row>
    <row r="88" spans="1:40" x14ac:dyDescent="0.25">
      <c r="A88" s="55" t="s">
        <v>962</v>
      </c>
      <c r="B88" s="55">
        <v>60.437595927956146</v>
      </c>
      <c r="C88" s="55">
        <v>78.312223962411906</v>
      </c>
      <c r="D88" s="55">
        <v>76.24722004698512</v>
      </c>
      <c r="E88" s="55">
        <v>87.292404072043851</v>
      </c>
      <c r="F88" s="55">
        <v>100.02923257635082</v>
      </c>
      <c r="G88" s="55">
        <v>111.74826938136258</v>
      </c>
      <c r="H88" s="55">
        <v>167.52772905246673</v>
      </c>
      <c r="I88" s="55">
        <v>100.90973375097886</v>
      </c>
      <c r="J88" s="55">
        <v>146.1490916209867</v>
      </c>
      <c r="K88" s="55">
        <v>123.71025841816758</v>
      </c>
      <c r="L88" s="55">
        <v>134.26263899765075</v>
      </c>
      <c r="M88" s="55">
        <v>40.758739232576353</v>
      </c>
      <c r="O88" s="55" t="s">
        <v>962</v>
      </c>
      <c r="P88" s="55">
        <v>8.8457556773688335</v>
      </c>
      <c r="Q88" s="55">
        <v>70.910462020360228</v>
      </c>
      <c r="R88" s="55">
        <v>90.886906812842597</v>
      </c>
      <c r="S88" s="55">
        <v>90.541409553641344</v>
      </c>
      <c r="T88" s="55">
        <v>111.4702114330462</v>
      </c>
      <c r="U88" s="55">
        <v>148.62952231793264</v>
      </c>
      <c r="V88" s="55">
        <v>126.24551292090837</v>
      </c>
      <c r="W88" s="55">
        <v>154.03298355520752</v>
      </c>
      <c r="X88" s="55">
        <v>92.96702427564604</v>
      </c>
      <c r="Y88" s="55">
        <v>114.59556773688332</v>
      </c>
      <c r="Z88" s="55">
        <v>120.25361002349256</v>
      </c>
      <c r="AA88" s="55">
        <v>106.98797963978073</v>
      </c>
      <c r="AB88" s="55">
        <v>62.676335160532496</v>
      </c>
      <c r="AC88" s="55">
        <v>60.437595927956146</v>
      </c>
      <c r="AD88" s="55">
        <v>78.312223962411906</v>
      </c>
      <c r="AE88" s="55">
        <v>76.24722004698512</v>
      </c>
      <c r="AF88" s="55">
        <v>87.292404072043851</v>
      </c>
      <c r="AG88" s="55">
        <v>100.02923257635082</v>
      </c>
      <c r="AH88" s="55">
        <v>111.74826938136258</v>
      </c>
      <c r="AI88" s="55">
        <v>167.52772905246673</v>
      </c>
      <c r="AJ88" s="55">
        <v>100.90973375097886</v>
      </c>
      <c r="AK88" s="55">
        <v>146.1490916209867</v>
      </c>
      <c r="AL88" s="55">
        <v>123.71025841816758</v>
      </c>
      <c r="AM88" s="55">
        <v>134.26263899765075</v>
      </c>
      <c r="AN88" s="55">
        <v>40.758739232576353</v>
      </c>
    </row>
    <row r="89" spans="1:40" x14ac:dyDescent="0.25">
      <c r="A89" s="55" t="s">
        <v>961</v>
      </c>
      <c r="B89" s="55">
        <v>4.5637118245888804</v>
      </c>
      <c r="C89" s="55">
        <v>5.6836883320281908</v>
      </c>
      <c r="D89" s="55">
        <v>5.7412920908379013</v>
      </c>
      <c r="E89" s="55">
        <v>12.033750978856697</v>
      </c>
      <c r="F89" s="55">
        <v>12.599342208300705</v>
      </c>
      <c r="G89" s="55">
        <v>11.522176977290524</v>
      </c>
      <c r="H89" s="55">
        <v>16.515191855912295</v>
      </c>
      <c r="I89" s="55">
        <v>12.904902114330463</v>
      </c>
      <c r="J89" s="55">
        <v>12.670368050117462</v>
      </c>
      <c r="K89" s="55">
        <v>13.198551292090837</v>
      </c>
      <c r="L89" s="55">
        <v>16.306147220046984</v>
      </c>
      <c r="M89" s="55">
        <v>3.3134847298355519</v>
      </c>
      <c r="O89" s="55" t="s">
        <v>961</v>
      </c>
      <c r="P89" s="55">
        <v>0.41179326546593581</v>
      </c>
      <c r="Q89" s="55">
        <v>13.513876272513706</v>
      </c>
      <c r="R89" s="55">
        <v>9.2337666405638217</v>
      </c>
      <c r="S89" s="55">
        <v>8.8124745497259198</v>
      </c>
      <c r="T89" s="55">
        <v>9.3795301487862179</v>
      </c>
      <c r="U89" s="55">
        <v>12.506945967110415</v>
      </c>
      <c r="V89" s="55">
        <v>8.11566953797964</v>
      </c>
      <c r="W89" s="55">
        <v>11.380046985121378</v>
      </c>
      <c r="X89" s="55">
        <v>16.88249804228661</v>
      </c>
      <c r="Y89" s="55">
        <v>10.134048551292091</v>
      </c>
      <c r="Z89" s="55">
        <v>8.1962568519968677</v>
      </c>
      <c r="AA89" s="55">
        <v>10.001644479248238</v>
      </c>
      <c r="AB89" s="55">
        <v>4.5440798747063429</v>
      </c>
      <c r="AC89" s="55">
        <v>4.5637118245888804</v>
      </c>
      <c r="AD89" s="55">
        <v>5.6836883320281908</v>
      </c>
      <c r="AE89" s="55">
        <v>5.7412920908379013</v>
      </c>
      <c r="AF89" s="55">
        <v>12.033750978856697</v>
      </c>
      <c r="AG89" s="55">
        <v>12.599342208300705</v>
      </c>
      <c r="AH89" s="55">
        <v>11.522176977290524</v>
      </c>
      <c r="AI89" s="55">
        <v>16.515191855912295</v>
      </c>
      <c r="AJ89" s="55">
        <v>12.904902114330463</v>
      </c>
      <c r="AK89" s="55">
        <v>12.670368050117462</v>
      </c>
      <c r="AL89" s="55">
        <v>13.198551292090837</v>
      </c>
      <c r="AM89" s="55">
        <v>16.306147220046984</v>
      </c>
      <c r="AN89" s="55">
        <v>3.3134847298355519</v>
      </c>
    </row>
    <row r="90" spans="1:40" x14ac:dyDescent="0.25">
      <c r="A90" s="55" t="s">
        <v>960</v>
      </c>
      <c r="B90" s="55">
        <v>73.589882537196559</v>
      </c>
      <c r="C90" s="55">
        <v>28.579451840250588</v>
      </c>
      <c r="D90" s="55">
        <v>64.564596711041503</v>
      </c>
      <c r="E90" s="55">
        <v>76.39747063429914</v>
      </c>
      <c r="F90" s="55">
        <v>124.75194988253719</v>
      </c>
      <c r="G90" s="55">
        <v>51.111660140955358</v>
      </c>
      <c r="H90" s="55">
        <v>153.69196554424434</v>
      </c>
      <c r="I90" s="55">
        <v>55.404604541895061</v>
      </c>
      <c r="J90" s="55">
        <v>134.17984338292874</v>
      </c>
      <c r="K90" s="55">
        <v>70.388566953797962</v>
      </c>
      <c r="L90" s="55">
        <v>164.5138136256852</v>
      </c>
      <c r="M90" s="55">
        <v>133.79428347689898</v>
      </c>
      <c r="O90" s="55" t="s">
        <v>960</v>
      </c>
      <c r="P90" s="55">
        <v>8.9629600626468289</v>
      </c>
      <c r="Q90" s="55">
        <v>448.17310101801098</v>
      </c>
      <c r="R90" s="55">
        <v>223.56158966327331</v>
      </c>
      <c r="S90" s="55">
        <v>87.490830070477671</v>
      </c>
      <c r="T90" s="55">
        <v>37.115544244322635</v>
      </c>
      <c r="U90" s="55">
        <v>397.20549725920125</v>
      </c>
      <c r="V90" s="55">
        <v>44.063320281910727</v>
      </c>
      <c r="W90" s="55">
        <v>53.830297572435391</v>
      </c>
      <c r="X90" s="55">
        <v>67.282153484729832</v>
      </c>
      <c r="Y90" s="55">
        <v>24.440078308535629</v>
      </c>
      <c r="Z90" s="55">
        <v>30.553680501174629</v>
      </c>
      <c r="AA90" s="55">
        <v>17.15628817541112</v>
      </c>
      <c r="AB90" s="55">
        <v>11.319812059514486</v>
      </c>
      <c r="AC90" s="55">
        <v>73.589882537196559</v>
      </c>
      <c r="AD90" s="55">
        <v>28.579451840250588</v>
      </c>
      <c r="AE90" s="55">
        <v>64.564596711041503</v>
      </c>
      <c r="AF90" s="55">
        <v>76.39747063429914</v>
      </c>
      <c r="AG90" s="55">
        <v>124.75194988253719</v>
      </c>
      <c r="AH90" s="55">
        <v>51.111660140955358</v>
      </c>
      <c r="AI90" s="55">
        <v>153.69196554424434</v>
      </c>
      <c r="AJ90" s="55">
        <v>55.404604541895061</v>
      </c>
      <c r="AK90" s="55">
        <v>134.17984338292874</v>
      </c>
      <c r="AL90" s="55">
        <v>70.388566953797962</v>
      </c>
      <c r="AM90" s="55">
        <v>164.5138136256852</v>
      </c>
      <c r="AN90" s="55">
        <v>133.79428347689898</v>
      </c>
    </row>
    <row r="92" spans="1:40" x14ac:dyDescent="0.25">
      <c r="A92" s="55" t="s">
        <v>1076</v>
      </c>
      <c r="O92" s="55" t="s">
        <v>1079</v>
      </c>
    </row>
    <row r="93" spans="1:40" x14ac:dyDescent="0.25">
      <c r="B93" s="56" t="s">
        <v>1033</v>
      </c>
      <c r="C93" s="56" t="s">
        <v>1032</v>
      </c>
      <c r="D93" s="56" t="s">
        <v>1031</v>
      </c>
      <c r="E93" s="56" t="s">
        <v>1030</v>
      </c>
      <c r="F93" s="56" t="s">
        <v>1029</v>
      </c>
      <c r="G93" s="56" t="s">
        <v>1028</v>
      </c>
      <c r="H93" s="56" t="s">
        <v>1027</v>
      </c>
      <c r="I93" s="56" t="s">
        <v>1026</v>
      </c>
      <c r="J93" s="56" t="s">
        <v>1025</v>
      </c>
      <c r="K93" s="56" t="s">
        <v>1024</v>
      </c>
      <c r="L93" s="56" t="s">
        <v>1023</v>
      </c>
      <c r="M93" s="56" t="s">
        <v>1022</v>
      </c>
      <c r="P93" s="56" t="s">
        <v>1047</v>
      </c>
      <c r="Q93" s="56" t="s">
        <v>1046</v>
      </c>
      <c r="R93" s="56" t="s">
        <v>1045</v>
      </c>
      <c r="S93" s="56" t="s">
        <v>1044</v>
      </c>
      <c r="T93" s="56" t="s">
        <v>1043</v>
      </c>
      <c r="U93" s="56" t="s">
        <v>1042</v>
      </c>
      <c r="V93" s="56" t="s">
        <v>1041</v>
      </c>
      <c r="W93" s="56" t="s">
        <v>1040</v>
      </c>
      <c r="X93" s="56" t="s">
        <v>1039</v>
      </c>
      <c r="Y93" s="56" t="s">
        <v>1038</v>
      </c>
      <c r="Z93" s="56" t="s">
        <v>1037</v>
      </c>
      <c r="AA93" s="56" t="s">
        <v>1036</v>
      </c>
      <c r="AB93" s="56" t="s">
        <v>1035</v>
      </c>
      <c r="AC93" s="56" t="s">
        <v>1033</v>
      </c>
      <c r="AD93" s="56" t="s">
        <v>1032</v>
      </c>
      <c r="AE93" s="56" t="s">
        <v>1031</v>
      </c>
      <c r="AF93" s="56" t="s">
        <v>1030</v>
      </c>
      <c r="AG93" s="56" t="s">
        <v>1029</v>
      </c>
      <c r="AH93" s="56" t="s">
        <v>1028</v>
      </c>
      <c r="AI93" s="56" t="s">
        <v>1027</v>
      </c>
      <c r="AJ93" s="56" t="s">
        <v>1026</v>
      </c>
      <c r="AK93" s="56" t="s">
        <v>1025</v>
      </c>
      <c r="AL93" s="56" t="s">
        <v>1024</v>
      </c>
      <c r="AM93" s="56" t="s">
        <v>1023</v>
      </c>
      <c r="AN93" s="56" t="s">
        <v>1022</v>
      </c>
    </row>
    <row r="94" spans="1:40" x14ac:dyDescent="0.25">
      <c r="A94" s="55" t="s">
        <v>1006</v>
      </c>
      <c r="B94" s="55">
        <v>37.131018010963196</v>
      </c>
      <c r="C94" s="55">
        <v>47.783657008613943</v>
      </c>
      <c r="D94" s="55">
        <v>28.554682850430698</v>
      </c>
      <c r="E94" s="55">
        <v>63.269992169146434</v>
      </c>
      <c r="F94" s="55">
        <v>40.427689898198906</v>
      </c>
      <c r="G94" s="55">
        <v>36.585074393108847</v>
      </c>
      <c r="H94" s="55">
        <v>41.335606891151137</v>
      </c>
      <c r="I94" s="55">
        <v>38.617180892717307</v>
      </c>
      <c r="J94" s="55">
        <v>42.503790133124511</v>
      </c>
      <c r="K94" s="55">
        <v>33.010281910728267</v>
      </c>
      <c r="L94" s="55">
        <v>51.421182458888026</v>
      </c>
      <c r="M94" s="55">
        <v>33.489788566953798</v>
      </c>
      <c r="O94" s="55" t="s">
        <v>1006</v>
      </c>
      <c r="P94" s="55">
        <v>2.9647376664056382</v>
      </c>
      <c r="Q94" s="55">
        <v>10.344166014095537</v>
      </c>
      <c r="R94" s="55">
        <v>17.810759592795616</v>
      </c>
      <c r="S94" s="55">
        <v>15.144596711041505</v>
      </c>
      <c r="T94" s="55">
        <v>15.607603758809709</v>
      </c>
      <c r="U94" s="55">
        <v>30.667580266249022</v>
      </c>
      <c r="V94" s="55">
        <v>24.489592795614723</v>
      </c>
      <c r="W94" s="55">
        <v>26.885920125293655</v>
      </c>
      <c r="X94" s="55">
        <v>42.039428347689899</v>
      </c>
      <c r="Y94" s="55">
        <v>37.300689115113549</v>
      </c>
      <c r="Z94" s="55">
        <v>40.194698512137819</v>
      </c>
      <c r="AA94" s="55">
        <v>53.769678935003917</v>
      </c>
      <c r="AB94" s="55">
        <v>24.696765857478464</v>
      </c>
      <c r="AC94" s="55">
        <v>37.131018010963196</v>
      </c>
      <c r="AD94" s="55">
        <v>47.783657008613943</v>
      </c>
      <c r="AE94" s="55">
        <v>28.554682850430698</v>
      </c>
      <c r="AF94" s="55">
        <v>63.269992169146434</v>
      </c>
      <c r="AG94" s="55">
        <v>40.427689898198906</v>
      </c>
      <c r="AH94" s="55">
        <v>36.585074393108847</v>
      </c>
      <c r="AI94" s="55">
        <v>41.335606891151137</v>
      </c>
      <c r="AJ94" s="55">
        <v>38.617180892717307</v>
      </c>
      <c r="AK94" s="55">
        <v>42.503790133124511</v>
      </c>
      <c r="AL94" s="55">
        <v>33.010281910728267</v>
      </c>
      <c r="AM94" s="55">
        <v>51.421182458888026</v>
      </c>
      <c r="AN94" s="55">
        <v>33.489788566953798</v>
      </c>
    </row>
    <row r="95" spans="1:40" x14ac:dyDescent="0.25">
      <c r="A95" s="55" t="s">
        <v>1005</v>
      </c>
      <c r="B95" s="55">
        <v>9.6730305403288952</v>
      </c>
      <c r="C95" s="55">
        <v>15.619655442443225</v>
      </c>
      <c r="D95" s="55">
        <v>13.395497259201253</v>
      </c>
      <c r="E95" s="55">
        <v>10.873132341425215</v>
      </c>
      <c r="F95" s="55">
        <v>19.315935787000782</v>
      </c>
      <c r="G95" s="55">
        <v>15.463187157400158</v>
      </c>
      <c r="H95" s="55">
        <v>18.759044635865308</v>
      </c>
      <c r="I95" s="55">
        <v>14.154393108848865</v>
      </c>
      <c r="J95" s="55">
        <v>16.639365700861394</v>
      </c>
      <c r="K95" s="55">
        <v>19.09553641346907</v>
      </c>
      <c r="L95" s="55">
        <v>30.400000000000002</v>
      </c>
      <c r="M95" s="55">
        <v>14.254197337509789</v>
      </c>
      <c r="O95" s="55" t="s">
        <v>1005</v>
      </c>
      <c r="P95" s="55">
        <v>0.40995301487862174</v>
      </c>
      <c r="Q95" s="55">
        <v>8.2853093187157398</v>
      </c>
      <c r="R95" s="55">
        <v>14.606711041503525</v>
      </c>
      <c r="S95" s="55">
        <v>13.993860610806578</v>
      </c>
      <c r="T95" s="55">
        <v>13.364635865309319</v>
      </c>
      <c r="U95" s="55">
        <v>18.440634299138605</v>
      </c>
      <c r="V95" s="55">
        <v>18.778692247454973</v>
      </c>
      <c r="W95" s="55">
        <v>17.254784651527018</v>
      </c>
      <c r="X95" s="55">
        <v>14.190031323414251</v>
      </c>
      <c r="Y95" s="55">
        <v>19.022106499608459</v>
      </c>
      <c r="Z95" s="55">
        <v>11.877870007830854</v>
      </c>
      <c r="AA95" s="55">
        <v>22.976499608457324</v>
      </c>
      <c r="AB95" s="55">
        <v>8.7597415818324205</v>
      </c>
      <c r="AC95" s="55">
        <v>9.6730305403288952</v>
      </c>
      <c r="AD95" s="55">
        <v>15.619655442443225</v>
      </c>
      <c r="AE95" s="55">
        <v>13.395497259201253</v>
      </c>
      <c r="AF95" s="55">
        <v>10.873132341425215</v>
      </c>
      <c r="AG95" s="55">
        <v>19.315935787000782</v>
      </c>
      <c r="AH95" s="55">
        <v>15.463187157400158</v>
      </c>
      <c r="AI95" s="55">
        <v>18.759044635865308</v>
      </c>
      <c r="AJ95" s="55">
        <v>14.154393108848865</v>
      </c>
      <c r="AK95" s="55">
        <v>16.639365700861394</v>
      </c>
      <c r="AL95" s="55">
        <v>19.09553641346907</v>
      </c>
      <c r="AM95" s="55">
        <v>30.400000000000002</v>
      </c>
      <c r="AN95" s="55">
        <v>14.254197337509789</v>
      </c>
    </row>
    <row r="96" spans="1:40" x14ac:dyDescent="0.25">
      <c r="A96" s="55" t="s">
        <v>1004</v>
      </c>
      <c r="B96" s="55">
        <v>55.85698512137823</v>
      </c>
      <c r="C96" s="55">
        <v>65.279350039154266</v>
      </c>
      <c r="D96" s="55">
        <v>57.051879404855129</v>
      </c>
      <c r="E96" s="55">
        <v>85.339342208300707</v>
      </c>
      <c r="F96" s="55">
        <v>72.195090054815978</v>
      </c>
      <c r="G96" s="55">
        <v>51.274502740798745</v>
      </c>
      <c r="H96" s="55">
        <v>74.202576350822241</v>
      </c>
      <c r="I96" s="55">
        <v>60.129044635865306</v>
      </c>
      <c r="J96" s="55">
        <v>63.131080657791699</v>
      </c>
      <c r="K96" s="55">
        <v>62.28411902897416</v>
      </c>
      <c r="L96" s="55">
        <v>74.641730618637439</v>
      </c>
      <c r="M96" s="55">
        <v>39.242161315583395</v>
      </c>
      <c r="O96" s="55" t="s">
        <v>1004</v>
      </c>
      <c r="P96" s="55">
        <v>3.4847298355520753</v>
      </c>
      <c r="Q96" s="55">
        <v>30.249827721221614</v>
      </c>
      <c r="R96" s="55">
        <v>36.415888801879404</v>
      </c>
      <c r="S96" s="55">
        <v>33.37433046202036</v>
      </c>
      <c r="T96" s="55">
        <v>36.865035238841038</v>
      </c>
      <c r="U96" s="55">
        <v>56.390274079874708</v>
      </c>
      <c r="V96" s="55">
        <v>52.365097885669535</v>
      </c>
      <c r="W96" s="55">
        <v>60.446851996867665</v>
      </c>
      <c r="X96" s="55">
        <v>56.924064212999212</v>
      </c>
      <c r="Y96" s="55">
        <v>64.028794048551291</v>
      </c>
      <c r="Z96" s="55">
        <v>72.338379013312448</v>
      </c>
      <c r="AA96" s="55">
        <v>79.948363351605323</v>
      </c>
      <c r="AB96" s="55">
        <v>42.602568519968678</v>
      </c>
      <c r="AC96" s="55">
        <v>55.85698512137823</v>
      </c>
      <c r="AD96" s="55">
        <v>65.279350039154266</v>
      </c>
      <c r="AE96" s="55">
        <v>57.051879404855129</v>
      </c>
      <c r="AF96" s="55">
        <v>85.339342208300707</v>
      </c>
      <c r="AG96" s="55">
        <v>72.195090054815978</v>
      </c>
      <c r="AH96" s="55">
        <v>51.274502740798745</v>
      </c>
      <c r="AI96" s="55">
        <v>74.202576350822241</v>
      </c>
      <c r="AJ96" s="55">
        <v>60.129044635865306</v>
      </c>
      <c r="AK96" s="55">
        <v>63.131080657791699</v>
      </c>
      <c r="AL96" s="55">
        <v>62.28411902897416</v>
      </c>
      <c r="AM96" s="55">
        <v>74.641730618637439</v>
      </c>
      <c r="AN96" s="55">
        <v>39.242161315583395</v>
      </c>
    </row>
    <row r="98" spans="1:40" x14ac:dyDescent="0.25">
      <c r="A98" s="55" t="s">
        <v>1077</v>
      </c>
      <c r="O98" s="55" t="s">
        <v>1080</v>
      </c>
    </row>
    <row r="99" spans="1:40" x14ac:dyDescent="0.25">
      <c r="B99" s="56" t="s">
        <v>1033</v>
      </c>
      <c r="C99" s="56" t="s">
        <v>1032</v>
      </c>
      <c r="D99" s="56" t="s">
        <v>1031</v>
      </c>
      <c r="E99" s="56" t="s">
        <v>1030</v>
      </c>
      <c r="F99" s="56" t="s">
        <v>1029</v>
      </c>
      <c r="G99" s="56" t="s">
        <v>1028</v>
      </c>
      <c r="H99" s="56" t="s">
        <v>1027</v>
      </c>
      <c r="I99" s="56" t="s">
        <v>1026</v>
      </c>
      <c r="J99" s="56" t="s">
        <v>1025</v>
      </c>
      <c r="K99" s="56" t="s">
        <v>1024</v>
      </c>
      <c r="L99" s="56" t="s">
        <v>1023</v>
      </c>
      <c r="M99" s="56" t="s">
        <v>1022</v>
      </c>
      <c r="P99" s="56" t="s">
        <v>1047</v>
      </c>
      <c r="Q99" s="56" t="s">
        <v>1046</v>
      </c>
      <c r="R99" s="56" t="s">
        <v>1045</v>
      </c>
      <c r="S99" s="56" t="s">
        <v>1044</v>
      </c>
      <c r="T99" s="56" t="s">
        <v>1043</v>
      </c>
      <c r="U99" s="56" t="s">
        <v>1042</v>
      </c>
      <c r="V99" s="56" t="s">
        <v>1041</v>
      </c>
      <c r="W99" s="56" t="s">
        <v>1040</v>
      </c>
      <c r="X99" s="56" t="s">
        <v>1039</v>
      </c>
      <c r="Y99" s="56" t="s">
        <v>1038</v>
      </c>
      <c r="Z99" s="56" t="s">
        <v>1037</v>
      </c>
      <c r="AA99" s="56" t="s">
        <v>1036</v>
      </c>
      <c r="AB99" s="56" t="s">
        <v>1035</v>
      </c>
      <c r="AC99" s="56" t="s">
        <v>1033</v>
      </c>
      <c r="AD99" s="56" t="s">
        <v>1032</v>
      </c>
      <c r="AE99" s="56" t="s">
        <v>1031</v>
      </c>
      <c r="AF99" s="56" t="s">
        <v>1030</v>
      </c>
      <c r="AG99" s="56" t="s">
        <v>1029</v>
      </c>
      <c r="AH99" s="56" t="s">
        <v>1028</v>
      </c>
      <c r="AI99" s="56" t="s">
        <v>1027</v>
      </c>
      <c r="AJ99" s="56" t="s">
        <v>1026</v>
      </c>
      <c r="AK99" s="56" t="s">
        <v>1025</v>
      </c>
      <c r="AL99" s="56" t="s">
        <v>1024</v>
      </c>
      <c r="AM99" s="56" t="s">
        <v>1023</v>
      </c>
      <c r="AN99" s="56" t="s">
        <v>1022</v>
      </c>
    </row>
    <row r="100" spans="1:40" x14ac:dyDescent="0.25">
      <c r="A100" s="55" t="s">
        <v>25</v>
      </c>
      <c r="B100" s="55">
        <v>0</v>
      </c>
      <c r="C100" s="55">
        <v>0</v>
      </c>
      <c r="D100" s="55">
        <v>0</v>
      </c>
      <c r="E100" s="55">
        <v>0</v>
      </c>
      <c r="F100" s="55">
        <v>0</v>
      </c>
      <c r="G100" s="55">
        <v>0</v>
      </c>
      <c r="H100" s="55">
        <v>0</v>
      </c>
      <c r="I100" s="55">
        <v>0</v>
      </c>
      <c r="J100" s="55">
        <v>0</v>
      </c>
      <c r="K100" s="55">
        <v>0</v>
      </c>
      <c r="L100" s="55">
        <v>0</v>
      </c>
      <c r="M100" s="55">
        <v>0</v>
      </c>
      <c r="O100" s="55" t="s">
        <v>25</v>
      </c>
    </row>
    <row r="101" spans="1:40" x14ac:dyDescent="0.25">
      <c r="A101" s="55" t="s">
        <v>24</v>
      </c>
      <c r="B101" s="55">
        <v>1.0096096291476904</v>
      </c>
      <c r="C101" s="55">
        <v>1.434964216005205</v>
      </c>
      <c r="D101" s="55">
        <v>0.65673389720234221</v>
      </c>
      <c r="E101" s="55">
        <v>0.7998568640208199</v>
      </c>
      <c r="F101" s="55">
        <v>1.3006245933636955</v>
      </c>
      <c r="G101" s="55">
        <v>3.7272674040338325</v>
      </c>
      <c r="H101" s="55">
        <v>2.8426219908913466</v>
      </c>
      <c r="I101" s="55">
        <v>0.58028627195836047</v>
      </c>
      <c r="J101" s="55">
        <v>0.98568640208197789</v>
      </c>
      <c r="K101" s="55">
        <v>1.5793363695510736</v>
      </c>
      <c r="L101" s="55">
        <v>1.79167208848406</v>
      </c>
      <c r="M101" s="55">
        <v>0.87281717631750166</v>
      </c>
      <c r="O101" s="55" t="s">
        <v>24</v>
      </c>
      <c r="P101" s="55">
        <v>3.894682850430697</v>
      </c>
      <c r="Q101" s="55">
        <v>38.535137039937354</v>
      </c>
      <c r="R101" s="55">
        <v>51.022599843382928</v>
      </c>
      <c r="S101" s="55">
        <v>47.368191072826939</v>
      </c>
      <c r="T101" s="55">
        <v>50.229671104150356</v>
      </c>
      <c r="U101" s="55">
        <v>74.830908379013323</v>
      </c>
      <c r="V101" s="55">
        <v>71.143790133124511</v>
      </c>
      <c r="W101" s="55">
        <v>77.701636648394683</v>
      </c>
      <c r="X101" s="55">
        <v>71.114095536413473</v>
      </c>
      <c r="Y101" s="55">
        <v>83.050900548159746</v>
      </c>
      <c r="Z101" s="55">
        <v>84.216249021143298</v>
      </c>
      <c r="AA101" s="55">
        <v>102.92486296006264</v>
      </c>
      <c r="AB101" s="55">
        <v>51.362310101801093</v>
      </c>
      <c r="AC101" s="55">
        <v>65.530015661707125</v>
      </c>
      <c r="AD101" s="55">
        <v>80.899005481597499</v>
      </c>
      <c r="AE101" s="55">
        <v>70.447376664056378</v>
      </c>
      <c r="AF101" s="55">
        <v>96.212474549725925</v>
      </c>
      <c r="AG101" s="55">
        <v>91.51102584181676</v>
      </c>
      <c r="AH101" s="55">
        <v>66.737689898198909</v>
      </c>
      <c r="AI101" s="55">
        <v>92.961620986687549</v>
      </c>
      <c r="AJ101" s="55">
        <v>74.283437744714178</v>
      </c>
      <c r="AK101" s="55">
        <v>79.770446358653089</v>
      </c>
      <c r="AL101" s="55">
        <v>81.379655442443237</v>
      </c>
      <c r="AM101" s="55">
        <v>105.04173061863744</v>
      </c>
      <c r="AN101" s="55">
        <v>53.496358653093189</v>
      </c>
    </row>
    <row r="102" spans="1:40" x14ac:dyDescent="0.25">
      <c r="A102" s="55" t="s">
        <v>23</v>
      </c>
      <c r="B102" s="55">
        <v>0.86675341574495779</v>
      </c>
      <c r="C102" s="55">
        <v>1.3254651919323357</v>
      </c>
      <c r="D102" s="55">
        <v>0.56351333767078726</v>
      </c>
      <c r="E102" s="55">
        <v>0.95864671437865978</v>
      </c>
      <c r="F102" s="55">
        <v>0.9885491216655824</v>
      </c>
      <c r="G102" s="55">
        <v>3.3635003253090434</v>
      </c>
      <c r="H102" s="55">
        <v>2.794990240728692</v>
      </c>
      <c r="I102" s="55">
        <v>0.62035133376707874</v>
      </c>
      <c r="J102" s="55">
        <v>0.92884189980481469</v>
      </c>
      <c r="K102" s="55">
        <v>1.4387573194534808</v>
      </c>
      <c r="L102" s="55">
        <v>1.4257449577098242</v>
      </c>
      <c r="M102" s="55">
        <v>0.67945348080676637</v>
      </c>
      <c r="O102" s="55" t="s">
        <v>23</v>
      </c>
      <c r="P102" s="55">
        <v>2.9647376664056382</v>
      </c>
      <c r="Q102" s="55">
        <v>10.344166014095537</v>
      </c>
      <c r="R102" s="55">
        <v>17.810759592795616</v>
      </c>
      <c r="S102" s="55">
        <v>15.144596711041505</v>
      </c>
      <c r="T102" s="55">
        <v>15.607603758809709</v>
      </c>
      <c r="U102" s="55">
        <v>30.667580266249022</v>
      </c>
      <c r="V102" s="55">
        <v>24.489592795614723</v>
      </c>
      <c r="W102" s="55">
        <v>26.885920125293655</v>
      </c>
      <c r="X102" s="55">
        <v>42.039428347689899</v>
      </c>
      <c r="Y102" s="55">
        <v>37.300689115113549</v>
      </c>
      <c r="Z102" s="55">
        <v>40.194698512137819</v>
      </c>
      <c r="AA102" s="55">
        <v>53.769678935003917</v>
      </c>
      <c r="AB102" s="55">
        <v>24.696765857478464</v>
      </c>
      <c r="AC102" s="55">
        <v>37.131018010963196</v>
      </c>
      <c r="AD102" s="55">
        <v>47.783657008613943</v>
      </c>
      <c r="AE102" s="55">
        <v>28.554682850430698</v>
      </c>
      <c r="AF102" s="55">
        <v>63.269992169146434</v>
      </c>
      <c r="AG102" s="55">
        <v>40.427689898198906</v>
      </c>
      <c r="AH102" s="55">
        <v>36.585074393108847</v>
      </c>
      <c r="AI102" s="55">
        <v>41.335606891151137</v>
      </c>
      <c r="AJ102" s="55">
        <v>38.617180892717307</v>
      </c>
      <c r="AK102" s="55">
        <v>42.503790133124511</v>
      </c>
      <c r="AL102" s="55">
        <v>33.010281910728267</v>
      </c>
      <c r="AM102" s="55">
        <v>51.421182458888026</v>
      </c>
      <c r="AN102" s="55">
        <v>33.489788566953798</v>
      </c>
    </row>
    <row r="103" spans="1:40" x14ac:dyDescent="0.25">
      <c r="A103" s="55" t="s">
        <v>22</v>
      </c>
      <c r="B103" s="55">
        <v>0.93692257644762522</v>
      </c>
      <c r="C103" s="55">
        <v>1.381587508132726</v>
      </c>
      <c r="D103" s="55">
        <v>0.99277813923227076</v>
      </c>
      <c r="E103" s="55">
        <v>1.3819388418998049</v>
      </c>
      <c r="F103" s="55">
        <v>1.4960637605725438</v>
      </c>
      <c r="G103" s="55">
        <v>3.831782693558881</v>
      </c>
      <c r="H103" s="55">
        <v>3.1756668835393622</v>
      </c>
      <c r="I103" s="55">
        <v>0.76398828887443071</v>
      </c>
      <c r="J103" s="55">
        <v>0.9630774235523748</v>
      </c>
      <c r="K103" s="55">
        <v>1.4856864020819778</v>
      </c>
      <c r="L103" s="55">
        <v>1.5119063109954458</v>
      </c>
      <c r="M103" s="55">
        <v>0.66307742355237476</v>
      </c>
      <c r="O103" s="55" t="s">
        <v>22</v>
      </c>
      <c r="P103" s="55">
        <v>0.40995301487862174</v>
      </c>
      <c r="Q103" s="55">
        <v>8.2853093187157398</v>
      </c>
      <c r="R103" s="55">
        <v>14.606711041503525</v>
      </c>
      <c r="S103" s="55">
        <v>13.993860610806578</v>
      </c>
      <c r="T103" s="55">
        <v>13.364635865309319</v>
      </c>
      <c r="U103" s="55">
        <v>18.440634299138605</v>
      </c>
      <c r="V103" s="55">
        <v>18.778692247454973</v>
      </c>
      <c r="W103" s="55">
        <v>17.254784651527018</v>
      </c>
      <c r="X103" s="55">
        <v>14.190031323414251</v>
      </c>
      <c r="Y103" s="55">
        <v>19.022106499608459</v>
      </c>
      <c r="Z103" s="55">
        <v>11.877870007830854</v>
      </c>
      <c r="AA103" s="55">
        <v>22.976499608457324</v>
      </c>
      <c r="AB103" s="55">
        <v>8.7597415818324205</v>
      </c>
      <c r="AC103" s="55">
        <v>9.6730305403288952</v>
      </c>
      <c r="AD103" s="55">
        <v>15.619655442443225</v>
      </c>
      <c r="AE103" s="55">
        <v>13.395497259201253</v>
      </c>
      <c r="AF103" s="55">
        <v>10.873132341425215</v>
      </c>
      <c r="AG103" s="55">
        <v>19.315935787000782</v>
      </c>
      <c r="AH103" s="55">
        <v>15.463187157400158</v>
      </c>
      <c r="AI103" s="55">
        <v>18.759044635865308</v>
      </c>
      <c r="AJ103" s="55">
        <v>14.154393108848865</v>
      </c>
      <c r="AK103" s="55">
        <v>16.639365700861394</v>
      </c>
      <c r="AL103" s="55">
        <v>19.09553641346907</v>
      </c>
      <c r="AM103" s="55">
        <v>30.400000000000002</v>
      </c>
      <c r="AN103" s="55">
        <v>14.254197337509789</v>
      </c>
    </row>
    <row r="104" spans="1:40" x14ac:dyDescent="0.25">
      <c r="A104" s="55" t="s">
        <v>21</v>
      </c>
      <c r="B104" s="55">
        <v>0.42026675341574499</v>
      </c>
      <c r="C104" s="55">
        <v>0.33409238776837996</v>
      </c>
      <c r="D104" s="55">
        <v>0.35139882888744306</v>
      </c>
      <c r="E104" s="55">
        <v>0.33309043591411841</v>
      </c>
      <c r="F104" s="55">
        <v>0.85188679245283017</v>
      </c>
      <c r="G104" s="55">
        <v>1.4678594664931683</v>
      </c>
      <c r="H104" s="55">
        <v>0.7999349381912817</v>
      </c>
      <c r="I104" s="55">
        <v>0.47527651268705268</v>
      </c>
      <c r="J104" s="55">
        <v>0.72299934938191279</v>
      </c>
      <c r="K104" s="55">
        <v>0.33344176968119715</v>
      </c>
      <c r="L104" s="55">
        <v>0.36317501626545223</v>
      </c>
      <c r="M104" s="55">
        <v>0.26561483409238779</v>
      </c>
      <c r="O104" s="55" t="s">
        <v>21</v>
      </c>
      <c r="P104" s="55">
        <v>3.4847298355520753</v>
      </c>
      <c r="Q104" s="55">
        <v>30.249827721221614</v>
      </c>
      <c r="R104" s="55">
        <v>36.415888801879404</v>
      </c>
      <c r="S104" s="55">
        <v>33.37433046202036</v>
      </c>
      <c r="T104" s="55">
        <v>36.865035238841038</v>
      </c>
      <c r="U104" s="55">
        <v>56.390274079874708</v>
      </c>
      <c r="V104" s="55">
        <v>52.365097885669535</v>
      </c>
      <c r="W104" s="55">
        <v>60.446851996867665</v>
      </c>
      <c r="X104" s="55">
        <v>56.924064212999212</v>
      </c>
      <c r="Y104" s="55">
        <v>64.028794048551291</v>
      </c>
      <c r="Z104" s="55">
        <v>72.338379013312448</v>
      </c>
      <c r="AA104" s="55">
        <v>79.948363351605323</v>
      </c>
      <c r="AB104" s="55">
        <v>42.602568519968678</v>
      </c>
      <c r="AC104" s="55">
        <v>55.85698512137823</v>
      </c>
      <c r="AD104" s="55">
        <v>65.279350039154266</v>
      </c>
      <c r="AE104" s="55">
        <v>57.051879404855129</v>
      </c>
      <c r="AF104" s="55">
        <v>85.339342208300707</v>
      </c>
      <c r="AG104" s="55">
        <v>72.195090054815978</v>
      </c>
      <c r="AH104" s="55">
        <v>51.274502740798745</v>
      </c>
      <c r="AI104" s="55">
        <v>74.202576350822241</v>
      </c>
      <c r="AJ104" s="55">
        <v>60.129044635865306</v>
      </c>
      <c r="AK104" s="55">
        <v>63.131080657791699</v>
      </c>
      <c r="AL104" s="55">
        <v>62.28411902897416</v>
      </c>
      <c r="AM104" s="55">
        <v>74.641730618637439</v>
      </c>
      <c r="AN104" s="55">
        <v>39.242161315583395</v>
      </c>
    </row>
    <row r="106" spans="1:40" x14ac:dyDescent="0.25">
      <c r="A106" s="55" t="s">
        <v>1083</v>
      </c>
    </row>
    <row r="107" spans="1:40" x14ac:dyDescent="0.25">
      <c r="B107" s="56" t="s">
        <v>1047</v>
      </c>
      <c r="C107" s="56" t="s">
        <v>1046</v>
      </c>
      <c r="D107" s="56" t="s">
        <v>1045</v>
      </c>
      <c r="E107" s="56" t="s">
        <v>1044</v>
      </c>
      <c r="F107" s="56" t="s">
        <v>1043</v>
      </c>
      <c r="G107" s="56" t="s">
        <v>1042</v>
      </c>
      <c r="H107" s="56" t="s">
        <v>1041</v>
      </c>
      <c r="I107" s="56" t="s">
        <v>1040</v>
      </c>
      <c r="J107" s="56" t="s">
        <v>1039</v>
      </c>
      <c r="K107" s="56" t="s">
        <v>1038</v>
      </c>
      <c r="L107" s="56" t="s">
        <v>1037</v>
      </c>
      <c r="M107" s="56" t="s">
        <v>1036</v>
      </c>
      <c r="N107" s="56" t="s">
        <v>1035</v>
      </c>
      <c r="O107" s="56" t="s">
        <v>1033</v>
      </c>
      <c r="P107" s="56" t="s">
        <v>1032</v>
      </c>
      <c r="Q107" s="56" t="s">
        <v>1031</v>
      </c>
      <c r="R107" s="56" t="s">
        <v>1030</v>
      </c>
      <c r="S107" s="56" t="s">
        <v>1029</v>
      </c>
      <c r="T107" s="56" t="s">
        <v>1028</v>
      </c>
      <c r="U107" s="56" t="s">
        <v>1027</v>
      </c>
      <c r="V107" s="56" t="s">
        <v>1026</v>
      </c>
      <c r="W107" s="56" t="s">
        <v>1025</v>
      </c>
      <c r="X107" s="56" t="s">
        <v>1024</v>
      </c>
      <c r="Y107" s="56" t="s">
        <v>1023</v>
      </c>
      <c r="Z107" s="56" t="s">
        <v>1022</v>
      </c>
    </row>
    <row r="108" spans="1:40" x14ac:dyDescent="0.25">
      <c r="A108" s="55" t="s">
        <v>1001</v>
      </c>
      <c r="B108" s="55">
        <v>60.885022222222233</v>
      </c>
      <c r="C108" s="55">
        <v>1781.9711777777782</v>
      </c>
      <c r="D108" s="55">
        <v>1159.7156</v>
      </c>
      <c r="E108" s="55">
        <v>793.92624444444459</v>
      </c>
      <c r="F108" s="55">
        <v>769.08304444444445</v>
      </c>
      <c r="G108" s="55">
        <v>2046.1278</v>
      </c>
      <c r="H108" s="55">
        <v>825.20217777777771</v>
      </c>
      <c r="I108" s="55">
        <v>1096.0130444444444</v>
      </c>
      <c r="J108" s="55">
        <v>825.79671111111111</v>
      </c>
      <c r="K108" s="55">
        <v>870.08302222222221</v>
      </c>
      <c r="L108" s="55">
        <v>901.2681555555555</v>
      </c>
      <c r="M108" s="55">
        <v>709.75797777777768</v>
      </c>
      <c r="N108" s="55">
        <v>525.54324444444444</v>
      </c>
      <c r="O108" s="55">
        <v>721.04028888888888</v>
      </c>
      <c r="P108" s="55">
        <v>574.95435555555559</v>
      </c>
      <c r="Q108" s="55">
        <v>771.22415555555551</v>
      </c>
      <c r="R108" s="55">
        <v>957.97944444444443</v>
      </c>
      <c r="S108" s="55">
        <v>1044.4161777777779</v>
      </c>
      <c r="T108" s="55">
        <v>828.59219999999993</v>
      </c>
      <c r="U108" s="55">
        <v>1657.8716444444444</v>
      </c>
      <c r="V108" s="55">
        <v>846.15066666666655</v>
      </c>
      <c r="W108" s="55">
        <v>1240.4847333333335</v>
      </c>
      <c r="X108" s="55">
        <v>1021.9389111111111</v>
      </c>
      <c r="Y108" s="55">
        <v>1343.9187555555557</v>
      </c>
      <c r="Z108" s="55">
        <v>647.94768888888882</v>
      </c>
    </row>
    <row r="109" spans="1:40" x14ac:dyDescent="0.25">
      <c r="A109" s="55" t="s">
        <v>1003</v>
      </c>
      <c r="B109" s="55">
        <v>11.052244444444446</v>
      </c>
      <c r="C109" s="55">
        <v>109.35415555555556</v>
      </c>
      <c r="D109" s="55">
        <v>144.79079999999999</v>
      </c>
      <c r="E109" s="55">
        <v>134.4204</v>
      </c>
      <c r="F109" s="55">
        <v>142.54064444444444</v>
      </c>
      <c r="G109" s="55">
        <v>212.3534888888889</v>
      </c>
      <c r="H109" s="55">
        <v>201.89026666666666</v>
      </c>
      <c r="I109" s="55">
        <v>220.49997777777779</v>
      </c>
      <c r="J109" s="55">
        <v>201.80599999999998</v>
      </c>
      <c r="K109" s="55">
        <v>235.68</v>
      </c>
      <c r="L109" s="55">
        <v>238.98699999999999</v>
      </c>
      <c r="M109" s="55">
        <v>292.07788888888888</v>
      </c>
      <c r="N109" s="55">
        <v>145.75482222222223</v>
      </c>
      <c r="O109" s="55">
        <v>185.95962222222224</v>
      </c>
      <c r="P109" s="55">
        <v>229.57339999999999</v>
      </c>
      <c r="Q109" s="55">
        <v>199.91400000000002</v>
      </c>
      <c r="R109" s="55">
        <v>273.0296222222222</v>
      </c>
      <c r="S109" s="55">
        <v>259.68795555555556</v>
      </c>
      <c r="T109" s="55">
        <v>189.38673333333332</v>
      </c>
      <c r="U109" s="55">
        <v>263.80442222222223</v>
      </c>
      <c r="V109" s="55">
        <v>210.79988888888889</v>
      </c>
      <c r="W109" s="55">
        <v>226.3708</v>
      </c>
      <c r="X109" s="55">
        <v>230.93737777777778</v>
      </c>
      <c r="Y109" s="55">
        <v>298.08508888888889</v>
      </c>
      <c r="Z109" s="55">
        <v>151.81077777777779</v>
      </c>
    </row>
    <row r="110" spans="1:40" x14ac:dyDescent="0.25">
      <c r="A110" s="55" t="s">
        <v>1007</v>
      </c>
      <c r="B110" s="55">
        <v>1.2751269035532995</v>
      </c>
      <c r="C110" s="55">
        <v>9.300507614213199</v>
      </c>
      <c r="D110" s="55">
        <v>9.8510321489001687</v>
      </c>
      <c r="E110" s="55">
        <v>10.008087986463622</v>
      </c>
      <c r="F110" s="55">
        <v>6.2319627749576991</v>
      </c>
      <c r="G110" s="55">
        <v>15.752064297800338</v>
      </c>
      <c r="H110" s="55">
        <v>20.880169204737733</v>
      </c>
      <c r="I110" s="55">
        <v>20.524568527918781</v>
      </c>
      <c r="J110" s="55">
        <v>7.6377834179357027</v>
      </c>
      <c r="K110" s="55">
        <v>10.928561759729273</v>
      </c>
      <c r="L110" s="55">
        <v>10.248037225042301</v>
      </c>
      <c r="M110" s="55">
        <v>12.94532994923858</v>
      </c>
      <c r="N110" s="55">
        <v>11.772368866328257</v>
      </c>
      <c r="O110" s="55">
        <v>8.4094247038917072</v>
      </c>
      <c r="P110" s="55">
        <v>11.640913705583756</v>
      </c>
      <c r="Q110" s="55">
        <v>6.6692385786802033</v>
      </c>
      <c r="R110" s="55">
        <v>9.0335363790186136</v>
      </c>
      <c r="S110" s="55">
        <v>12.059661590524534</v>
      </c>
      <c r="T110" s="55">
        <v>32.223451776649746</v>
      </c>
      <c r="U110" s="55">
        <v>25.000862944162435</v>
      </c>
      <c r="V110" s="55">
        <v>6.3453976311336717</v>
      </c>
      <c r="W110" s="55">
        <v>9.3640101522842638</v>
      </c>
      <c r="X110" s="55">
        <v>12.580050761421319</v>
      </c>
      <c r="Y110" s="55">
        <v>13.243942470389172</v>
      </c>
      <c r="Z110" s="55">
        <v>6.4521827411167516</v>
      </c>
    </row>
    <row r="112" spans="1:40" x14ac:dyDescent="0.25">
      <c r="A112" s="55" t="s">
        <v>1084</v>
      </c>
    </row>
    <row r="113" spans="1:26" x14ac:dyDescent="0.25">
      <c r="B113" s="56" t="s">
        <v>1047</v>
      </c>
      <c r="C113" s="56" t="s">
        <v>1046</v>
      </c>
      <c r="D113" s="56" t="s">
        <v>1045</v>
      </c>
      <c r="E113" s="56" t="s">
        <v>1044</v>
      </c>
      <c r="F113" s="56" t="s">
        <v>1043</v>
      </c>
      <c r="G113" s="56" t="s">
        <v>1042</v>
      </c>
      <c r="H113" s="56" t="s">
        <v>1041</v>
      </c>
      <c r="I113" s="56" t="s">
        <v>1040</v>
      </c>
      <c r="J113" s="56" t="s">
        <v>1039</v>
      </c>
      <c r="K113" s="56" t="s">
        <v>1038</v>
      </c>
      <c r="L113" s="56" t="s">
        <v>1037</v>
      </c>
      <c r="M113" s="56" t="s">
        <v>1036</v>
      </c>
      <c r="N113" s="56" t="s">
        <v>1035</v>
      </c>
      <c r="O113" s="56" t="s">
        <v>1033</v>
      </c>
      <c r="P113" s="56" t="s">
        <v>1032</v>
      </c>
      <c r="Q113" s="56" t="s">
        <v>1031</v>
      </c>
      <c r="R113" s="56" t="s">
        <v>1030</v>
      </c>
      <c r="S113" s="56" t="s">
        <v>1029</v>
      </c>
      <c r="T113" s="56" t="s">
        <v>1028</v>
      </c>
      <c r="U113" s="56" t="s">
        <v>1027</v>
      </c>
      <c r="V113" s="56" t="s">
        <v>1026</v>
      </c>
      <c r="W113" s="56" t="s">
        <v>1025</v>
      </c>
      <c r="X113" s="56" t="s">
        <v>1024</v>
      </c>
      <c r="Y113" s="56" t="s">
        <v>1023</v>
      </c>
      <c r="Z113" s="56" t="s">
        <v>1022</v>
      </c>
    </row>
    <row r="114" spans="1:26" x14ac:dyDescent="0.25">
      <c r="A114" s="55" t="s">
        <v>964</v>
      </c>
      <c r="B114" s="55">
        <v>2983.63</v>
      </c>
      <c r="C114" s="55">
        <v>114374.04</v>
      </c>
      <c r="D114" s="55">
        <v>92790.97</v>
      </c>
      <c r="E114" s="55">
        <v>105999.38</v>
      </c>
      <c r="F114" s="55">
        <v>120634.15</v>
      </c>
      <c r="G114" s="55">
        <v>189022.07</v>
      </c>
      <c r="H114" s="55">
        <v>124408.82</v>
      </c>
      <c r="I114" s="55">
        <v>203636.9</v>
      </c>
      <c r="J114" s="55">
        <v>133600.43</v>
      </c>
      <c r="K114" s="55">
        <v>190119.34</v>
      </c>
      <c r="L114" s="55">
        <v>197642.52</v>
      </c>
      <c r="M114" s="55">
        <v>135724.04</v>
      </c>
      <c r="N114" s="55">
        <v>118312.31</v>
      </c>
      <c r="O114" s="55">
        <v>131418.1</v>
      </c>
      <c r="P114" s="55">
        <v>109700.71</v>
      </c>
      <c r="Q114" s="55">
        <v>144615.95000000001</v>
      </c>
      <c r="R114" s="55">
        <v>198538.84</v>
      </c>
      <c r="S114" s="55">
        <v>159194.57</v>
      </c>
      <c r="T114" s="55">
        <v>131354.10999999999</v>
      </c>
      <c r="U114" s="55">
        <v>297193.14</v>
      </c>
      <c r="V114" s="55">
        <v>157205.15</v>
      </c>
      <c r="W114" s="55">
        <v>169417.45</v>
      </c>
      <c r="X114" s="55">
        <v>155340.98000000001</v>
      </c>
      <c r="Y114" s="55">
        <v>188697.43</v>
      </c>
      <c r="Z114" s="55">
        <v>62606.22</v>
      </c>
    </row>
    <row r="115" spans="1:26" x14ac:dyDescent="0.25">
      <c r="A115" s="55" t="s">
        <v>1002</v>
      </c>
      <c r="B115" s="55">
        <v>1147.04</v>
      </c>
      <c r="C115" s="55">
        <v>7386.06</v>
      </c>
      <c r="D115" s="55">
        <v>15738.8</v>
      </c>
      <c r="E115" s="55">
        <v>12666.73</v>
      </c>
      <c r="F115" s="55">
        <v>23731.55</v>
      </c>
      <c r="G115" s="55">
        <v>18732.75</v>
      </c>
      <c r="H115" s="55">
        <v>19084.07</v>
      </c>
      <c r="I115" s="55">
        <v>9595.24</v>
      </c>
      <c r="J115" s="55">
        <v>11810.94</v>
      </c>
      <c r="K115" s="55">
        <v>10928.32</v>
      </c>
      <c r="L115" s="55">
        <v>4880.62</v>
      </c>
      <c r="M115" s="55">
        <v>12362.72</v>
      </c>
      <c r="N115" s="55">
        <v>17886.28</v>
      </c>
      <c r="O115" s="55">
        <v>16069.08</v>
      </c>
      <c r="P115" s="55">
        <v>5270.01</v>
      </c>
      <c r="Q115" s="55">
        <v>15286.6</v>
      </c>
      <c r="R115" s="55">
        <v>8152.84</v>
      </c>
      <c r="S115" s="55">
        <v>7657.78</v>
      </c>
      <c r="T115" s="55">
        <v>18826.43</v>
      </c>
      <c r="U115" s="55">
        <v>17561.650000000001</v>
      </c>
      <c r="V115" s="55">
        <v>7469.68</v>
      </c>
      <c r="W115" s="55">
        <v>14640.57</v>
      </c>
      <c r="X115" s="55">
        <v>39812.78</v>
      </c>
      <c r="Y115" s="55">
        <v>13705.53</v>
      </c>
      <c r="Z115" s="55">
        <v>1834.71</v>
      </c>
    </row>
    <row r="116" spans="1:26" x14ac:dyDescent="0.25">
      <c r="A116" s="55" t="s">
        <v>962</v>
      </c>
      <c r="B116" s="55">
        <v>11296.03</v>
      </c>
      <c r="C116" s="55">
        <v>90552.66</v>
      </c>
      <c r="D116" s="55">
        <v>116062.58</v>
      </c>
      <c r="E116" s="55">
        <v>115621.38</v>
      </c>
      <c r="F116" s="55">
        <v>142347.46</v>
      </c>
      <c r="G116" s="55">
        <v>189799.9</v>
      </c>
      <c r="H116" s="55">
        <v>161215.51999999999</v>
      </c>
      <c r="I116" s="55">
        <v>196700.12</v>
      </c>
      <c r="J116" s="55">
        <v>118718.89</v>
      </c>
      <c r="K116" s="55">
        <v>146338.54</v>
      </c>
      <c r="L116" s="55">
        <v>153563.85999999999</v>
      </c>
      <c r="M116" s="55">
        <v>136623.65</v>
      </c>
      <c r="N116" s="55">
        <v>80037.679999999993</v>
      </c>
      <c r="O116" s="55">
        <v>77178.81</v>
      </c>
      <c r="P116" s="55">
        <v>100004.71</v>
      </c>
      <c r="Q116" s="55">
        <v>97367.7</v>
      </c>
      <c r="R116" s="55">
        <v>111472.4</v>
      </c>
      <c r="S116" s="55">
        <v>127737.33</v>
      </c>
      <c r="T116" s="55">
        <v>142702.54</v>
      </c>
      <c r="U116" s="55">
        <v>213932.91</v>
      </c>
      <c r="V116" s="55">
        <v>128861.73</v>
      </c>
      <c r="W116" s="55">
        <v>186632.39</v>
      </c>
      <c r="X116" s="55">
        <v>157978</v>
      </c>
      <c r="Y116" s="55">
        <v>171453.39</v>
      </c>
      <c r="Z116" s="55">
        <v>52048.91</v>
      </c>
    </row>
    <row r="117" spans="1:26" x14ac:dyDescent="0.25">
      <c r="A117" s="55" t="s">
        <v>961</v>
      </c>
      <c r="B117" s="55">
        <v>525.86</v>
      </c>
      <c r="C117" s="55">
        <v>17257.22</v>
      </c>
      <c r="D117" s="55">
        <v>11791.52</v>
      </c>
      <c r="E117" s="55">
        <v>11253.53</v>
      </c>
      <c r="F117" s="55">
        <v>11977.66</v>
      </c>
      <c r="G117" s="55">
        <v>15971.37</v>
      </c>
      <c r="H117" s="55">
        <v>10363.709999999999</v>
      </c>
      <c r="I117" s="55">
        <v>14532.32</v>
      </c>
      <c r="J117" s="55">
        <v>21558.95</v>
      </c>
      <c r="K117" s="55">
        <v>12941.18</v>
      </c>
      <c r="L117" s="55">
        <v>10466.620000000001</v>
      </c>
      <c r="M117" s="55">
        <v>12772.1</v>
      </c>
      <c r="N117" s="55">
        <v>5802.79</v>
      </c>
      <c r="O117" s="55">
        <v>5827.86</v>
      </c>
      <c r="P117" s="55">
        <v>7258.07</v>
      </c>
      <c r="Q117" s="55">
        <v>7331.63</v>
      </c>
      <c r="R117" s="55">
        <v>15367.1</v>
      </c>
      <c r="S117" s="55">
        <v>16089.36</v>
      </c>
      <c r="T117" s="55">
        <v>14713.82</v>
      </c>
      <c r="U117" s="55">
        <v>21089.9</v>
      </c>
      <c r="V117" s="55">
        <v>16479.560000000001</v>
      </c>
      <c r="W117" s="55">
        <v>16180.06</v>
      </c>
      <c r="X117" s="55">
        <v>16854.55</v>
      </c>
      <c r="Y117" s="55">
        <v>20822.95</v>
      </c>
      <c r="Z117" s="55">
        <v>4231.32</v>
      </c>
    </row>
    <row r="118" spans="1:26" x14ac:dyDescent="0.25">
      <c r="A118" s="55" t="s">
        <v>960</v>
      </c>
      <c r="B118" s="55">
        <v>11445.7</v>
      </c>
      <c r="C118" s="55">
        <v>572317.05000000005</v>
      </c>
      <c r="D118" s="55">
        <v>285488.15000000002</v>
      </c>
      <c r="E118" s="55">
        <v>111725.79</v>
      </c>
      <c r="F118" s="55">
        <v>47396.55</v>
      </c>
      <c r="G118" s="55">
        <v>507231.42</v>
      </c>
      <c r="H118" s="55">
        <v>56268.86</v>
      </c>
      <c r="I118" s="55">
        <v>68741.289999999994</v>
      </c>
      <c r="J118" s="55">
        <v>85919.31</v>
      </c>
      <c r="K118" s="55">
        <v>31209.98</v>
      </c>
      <c r="L118" s="55">
        <v>39017.050000000003</v>
      </c>
      <c r="M118" s="55">
        <v>21908.58</v>
      </c>
      <c r="N118" s="55">
        <v>14455.4</v>
      </c>
      <c r="O118" s="55">
        <v>93974.28</v>
      </c>
      <c r="P118" s="55">
        <v>36495.96</v>
      </c>
      <c r="Q118" s="55">
        <v>82448.990000000005</v>
      </c>
      <c r="R118" s="55">
        <v>97559.57</v>
      </c>
      <c r="S118" s="55">
        <v>159308.24</v>
      </c>
      <c r="T118" s="55">
        <v>65269.59</v>
      </c>
      <c r="U118" s="55">
        <v>196264.64</v>
      </c>
      <c r="V118" s="55">
        <v>70751.679999999993</v>
      </c>
      <c r="W118" s="55">
        <v>171347.66</v>
      </c>
      <c r="X118" s="55">
        <v>89886.2</v>
      </c>
      <c r="Y118" s="55">
        <v>210084.14</v>
      </c>
      <c r="Z118" s="55">
        <v>170855.3</v>
      </c>
    </row>
    <row r="119" spans="1:26" x14ac:dyDescent="0.25">
      <c r="A119" s="55" t="s">
        <v>13</v>
      </c>
      <c r="B119" s="55">
        <v>27398.260000000002</v>
      </c>
      <c r="C119" s="55">
        <v>801887.03</v>
      </c>
      <c r="D119" s="55">
        <v>521872.02</v>
      </c>
      <c r="E119" s="55">
        <v>357266.81</v>
      </c>
      <c r="F119" s="55">
        <v>346087.36999999994</v>
      </c>
      <c r="G119" s="55">
        <v>920757.51</v>
      </c>
      <c r="H119" s="55">
        <v>371340.98000000004</v>
      </c>
      <c r="I119" s="55">
        <v>493205.87</v>
      </c>
      <c r="J119" s="55">
        <v>371608.52</v>
      </c>
      <c r="K119" s="55">
        <v>391537.36</v>
      </c>
      <c r="L119" s="55">
        <v>405570.67</v>
      </c>
      <c r="M119" s="55">
        <v>319391.09000000003</v>
      </c>
      <c r="N119" s="55">
        <v>236494.46</v>
      </c>
      <c r="O119" s="55">
        <v>324468.13</v>
      </c>
      <c r="P119" s="55">
        <v>258729.46</v>
      </c>
      <c r="Q119" s="55">
        <v>347050.87</v>
      </c>
      <c r="R119" s="55">
        <v>431090.74999999994</v>
      </c>
      <c r="S119" s="55">
        <v>469987.27999999997</v>
      </c>
      <c r="T119" s="55">
        <v>372866.49</v>
      </c>
      <c r="U119" s="55">
        <v>746042.24000000011</v>
      </c>
      <c r="V119" s="55">
        <v>380767.8</v>
      </c>
      <c r="W119" s="55">
        <v>558218.13</v>
      </c>
      <c r="X119" s="55">
        <v>459872.51</v>
      </c>
      <c r="Y119" s="55">
        <v>604763.43999999994</v>
      </c>
    </row>
    <row r="121" spans="1:26" x14ac:dyDescent="0.25">
      <c r="A121" s="55" t="s">
        <v>1085</v>
      </c>
    </row>
    <row r="122" spans="1:26" x14ac:dyDescent="0.25">
      <c r="B122" s="56" t="s">
        <v>1047</v>
      </c>
      <c r="C122" s="56" t="s">
        <v>1046</v>
      </c>
      <c r="D122" s="56" t="s">
        <v>1045</v>
      </c>
      <c r="E122" s="56" t="s">
        <v>1044</v>
      </c>
      <c r="F122" s="56" t="s">
        <v>1043</v>
      </c>
      <c r="G122" s="56" t="s">
        <v>1042</v>
      </c>
      <c r="H122" s="56" t="s">
        <v>1041</v>
      </c>
      <c r="I122" s="56" t="s">
        <v>1040</v>
      </c>
      <c r="J122" s="56" t="s">
        <v>1039</v>
      </c>
      <c r="K122" s="56" t="s">
        <v>1038</v>
      </c>
      <c r="L122" s="56" t="s">
        <v>1037</v>
      </c>
      <c r="M122" s="56" t="s">
        <v>1036</v>
      </c>
      <c r="N122" s="56" t="s">
        <v>1035</v>
      </c>
      <c r="O122" s="56" t="s">
        <v>1033</v>
      </c>
      <c r="P122" s="56" t="s">
        <v>1032</v>
      </c>
      <c r="Q122" s="56" t="s">
        <v>1031</v>
      </c>
      <c r="R122" s="56" t="s">
        <v>1030</v>
      </c>
      <c r="S122" s="56" t="s">
        <v>1029</v>
      </c>
      <c r="T122" s="56" t="s">
        <v>1028</v>
      </c>
      <c r="U122" s="56" t="s">
        <v>1027</v>
      </c>
      <c r="V122" s="56" t="s">
        <v>1026</v>
      </c>
      <c r="W122" s="56" t="s">
        <v>1025</v>
      </c>
      <c r="X122" s="56" t="s">
        <v>1024</v>
      </c>
      <c r="Y122" s="56" t="s">
        <v>1023</v>
      </c>
      <c r="Z122" s="56" t="s">
        <v>1022</v>
      </c>
    </row>
    <row r="123" spans="1:26" x14ac:dyDescent="0.25">
      <c r="A123" s="55" t="s">
        <v>1006</v>
      </c>
      <c r="B123" s="55">
        <v>3785.97</v>
      </c>
      <c r="C123" s="55">
        <v>13209.5</v>
      </c>
      <c r="D123" s="55">
        <v>22744.34</v>
      </c>
      <c r="E123" s="55">
        <v>19339.650000000001</v>
      </c>
      <c r="F123" s="55">
        <v>19930.91</v>
      </c>
      <c r="G123" s="55">
        <v>39162.5</v>
      </c>
      <c r="H123" s="55">
        <v>31273.21</v>
      </c>
      <c r="I123" s="55">
        <v>34333.32</v>
      </c>
      <c r="J123" s="55">
        <v>53684.35</v>
      </c>
      <c r="K123" s="55">
        <v>47632.98</v>
      </c>
      <c r="L123" s="55">
        <v>51328.63</v>
      </c>
      <c r="M123" s="55">
        <v>68663.88</v>
      </c>
      <c r="N123" s="55">
        <v>31537.77</v>
      </c>
      <c r="O123" s="55">
        <v>47416.31</v>
      </c>
      <c r="P123" s="55">
        <v>61019.73</v>
      </c>
      <c r="Q123" s="55">
        <v>36464.33</v>
      </c>
      <c r="R123" s="55">
        <v>80795.78</v>
      </c>
      <c r="S123" s="55">
        <v>51626.16</v>
      </c>
      <c r="T123" s="55">
        <v>46719.14</v>
      </c>
      <c r="U123" s="55">
        <v>52785.57</v>
      </c>
      <c r="V123" s="55">
        <v>49314.14</v>
      </c>
      <c r="W123" s="55">
        <v>54277.34</v>
      </c>
      <c r="X123" s="55">
        <v>42154.13</v>
      </c>
      <c r="Y123" s="55">
        <v>65664.850000000006</v>
      </c>
      <c r="Z123" s="55">
        <v>42766.46</v>
      </c>
    </row>
    <row r="124" spans="1:26" x14ac:dyDescent="0.25">
      <c r="A124" s="55" t="s">
        <v>1005</v>
      </c>
      <c r="B124" s="55">
        <v>523.51</v>
      </c>
      <c r="C124" s="55">
        <v>10580.34</v>
      </c>
      <c r="D124" s="55">
        <v>18652.77</v>
      </c>
      <c r="E124" s="55">
        <v>17870.16</v>
      </c>
      <c r="F124" s="55">
        <v>17066.64</v>
      </c>
      <c r="G124" s="55">
        <v>23548.69</v>
      </c>
      <c r="H124" s="55">
        <v>23980.39</v>
      </c>
      <c r="I124" s="55">
        <v>22034.36</v>
      </c>
      <c r="J124" s="55">
        <v>18120.669999999998</v>
      </c>
      <c r="K124" s="55">
        <v>24291.23</v>
      </c>
      <c r="L124" s="55">
        <v>15168.04</v>
      </c>
      <c r="M124" s="55">
        <v>29340.99</v>
      </c>
      <c r="N124" s="55">
        <v>11186.19</v>
      </c>
      <c r="O124" s="55">
        <v>12352.46</v>
      </c>
      <c r="P124" s="55">
        <v>19946.3</v>
      </c>
      <c r="Q124" s="55">
        <v>17106.05</v>
      </c>
      <c r="R124" s="55">
        <v>13884.99</v>
      </c>
      <c r="S124" s="55">
        <v>24666.45</v>
      </c>
      <c r="T124" s="55">
        <v>19746.490000000002</v>
      </c>
      <c r="U124" s="55">
        <v>23955.3</v>
      </c>
      <c r="V124" s="55">
        <v>18075.16</v>
      </c>
      <c r="W124" s="55">
        <v>21248.47</v>
      </c>
      <c r="X124" s="55">
        <v>24385</v>
      </c>
      <c r="Y124" s="55">
        <v>38820.800000000003</v>
      </c>
      <c r="Z124" s="55">
        <v>18202.61</v>
      </c>
    </row>
    <row r="125" spans="1:26" x14ac:dyDescent="0.25">
      <c r="A125" s="55" t="s">
        <v>1004</v>
      </c>
      <c r="B125" s="55">
        <v>4450</v>
      </c>
      <c r="C125" s="55">
        <v>38629.03</v>
      </c>
      <c r="D125" s="55">
        <v>46503.09</v>
      </c>
      <c r="E125" s="55">
        <v>42619.02</v>
      </c>
      <c r="F125" s="55">
        <v>47076.65</v>
      </c>
      <c r="G125" s="55">
        <v>72010.38</v>
      </c>
      <c r="H125" s="55">
        <v>66870.23</v>
      </c>
      <c r="I125" s="55">
        <v>77190.63</v>
      </c>
      <c r="J125" s="55">
        <v>72692.03</v>
      </c>
      <c r="K125" s="55">
        <v>81764.77</v>
      </c>
      <c r="L125" s="55">
        <v>92376.11</v>
      </c>
      <c r="M125" s="55">
        <v>102094.06</v>
      </c>
      <c r="N125" s="55">
        <v>54403.48</v>
      </c>
      <c r="O125" s="55">
        <v>71329.37</v>
      </c>
      <c r="P125" s="55">
        <v>83361.73</v>
      </c>
      <c r="Q125" s="55">
        <v>72855.25</v>
      </c>
      <c r="R125" s="55">
        <v>108978.34</v>
      </c>
      <c r="S125" s="55">
        <v>92193.13</v>
      </c>
      <c r="T125" s="55">
        <v>65477.54</v>
      </c>
      <c r="U125" s="55">
        <v>94756.69</v>
      </c>
      <c r="V125" s="55">
        <v>76784.789999999994</v>
      </c>
      <c r="W125" s="55">
        <v>80618.39</v>
      </c>
      <c r="X125" s="55">
        <v>79536.820000000007</v>
      </c>
      <c r="Y125" s="55">
        <v>95317.49</v>
      </c>
      <c r="Z125" s="55">
        <v>50112.24</v>
      </c>
    </row>
    <row r="126" spans="1:26" x14ac:dyDescent="0.25">
      <c r="A126" s="55" t="s">
        <v>13</v>
      </c>
      <c r="B126" s="55">
        <v>8759.48</v>
      </c>
      <c r="C126" s="55">
        <v>62418.869999999995</v>
      </c>
      <c r="D126" s="55">
        <v>87900.2</v>
      </c>
      <c r="E126" s="55">
        <v>79828.829999999987</v>
      </c>
      <c r="F126" s="55">
        <v>84074.200000000012</v>
      </c>
      <c r="G126" s="55">
        <v>134721.57</v>
      </c>
      <c r="H126" s="55">
        <v>122123.82999999999</v>
      </c>
      <c r="I126" s="55">
        <v>133558.31</v>
      </c>
      <c r="J126" s="55">
        <v>144497.04999999999</v>
      </c>
      <c r="K126" s="55">
        <v>153688.98000000001</v>
      </c>
      <c r="L126" s="55">
        <v>158872.78</v>
      </c>
      <c r="M126" s="55">
        <v>200098.93</v>
      </c>
      <c r="N126" s="55">
        <v>97127.44</v>
      </c>
      <c r="O126" s="55">
        <v>131098.13999999998</v>
      </c>
      <c r="P126" s="55">
        <v>164327.76</v>
      </c>
      <c r="Q126" s="55">
        <v>126425.63</v>
      </c>
      <c r="R126" s="55">
        <v>203659.11</v>
      </c>
      <c r="S126" s="55">
        <v>168485.74</v>
      </c>
      <c r="T126" s="55">
        <v>131943.17000000001</v>
      </c>
      <c r="U126" s="55">
        <v>171497.56</v>
      </c>
      <c r="V126" s="55">
        <v>144174.09</v>
      </c>
      <c r="W126" s="55">
        <v>156144.20000000001</v>
      </c>
      <c r="X126" s="55">
        <v>146075.95000000001</v>
      </c>
      <c r="Y126" s="55">
        <v>199803.14</v>
      </c>
    </row>
    <row r="128" spans="1:26" x14ac:dyDescent="0.25">
      <c r="A128" s="55" t="s">
        <v>1086</v>
      </c>
    </row>
    <row r="129" spans="1:26" x14ac:dyDescent="0.25">
      <c r="B129" s="56" t="s">
        <v>1047</v>
      </c>
      <c r="C129" s="56" t="s">
        <v>1046</v>
      </c>
      <c r="D129" s="56" t="s">
        <v>1045</v>
      </c>
      <c r="E129" s="56" t="s">
        <v>1044</v>
      </c>
      <c r="F129" s="56" t="s">
        <v>1043</v>
      </c>
      <c r="G129" s="56" t="s">
        <v>1042</v>
      </c>
      <c r="H129" s="56" t="s">
        <v>1041</v>
      </c>
      <c r="I129" s="56" t="s">
        <v>1040</v>
      </c>
      <c r="J129" s="56" t="s">
        <v>1039</v>
      </c>
      <c r="K129" s="56" t="s">
        <v>1038</v>
      </c>
      <c r="L129" s="56" t="s">
        <v>1037</v>
      </c>
      <c r="M129" s="56" t="s">
        <v>1036</v>
      </c>
      <c r="N129" s="56" t="s">
        <v>1035</v>
      </c>
      <c r="O129" s="56" t="s">
        <v>1033</v>
      </c>
      <c r="P129" s="56" t="s">
        <v>1032</v>
      </c>
      <c r="Q129" s="56" t="s">
        <v>1031</v>
      </c>
      <c r="R129" s="56" t="s">
        <v>1030</v>
      </c>
      <c r="S129" s="56" t="s">
        <v>1029</v>
      </c>
      <c r="T129" s="56" t="s">
        <v>1028</v>
      </c>
      <c r="U129" s="56" t="s">
        <v>1027</v>
      </c>
      <c r="V129" s="56" t="s">
        <v>1026</v>
      </c>
      <c r="W129" s="56" t="s">
        <v>1025</v>
      </c>
      <c r="X129" s="56" t="s">
        <v>1024</v>
      </c>
      <c r="Y129" s="56" t="s">
        <v>1023</v>
      </c>
      <c r="Z129" s="56" t="s">
        <v>1022</v>
      </c>
    </row>
    <row r="130" spans="1:26" x14ac:dyDescent="0.25">
      <c r="A130" s="55" t="s">
        <v>25</v>
      </c>
    </row>
    <row r="131" spans="1:26" x14ac:dyDescent="0.25">
      <c r="A131" s="55" t="s">
        <v>24</v>
      </c>
      <c r="B131" s="55">
        <v>4973.51</v>
      </c>
      <c r="C131" s="55">
        <v>49209.37</v>
      </c>
      <c r="D131" s="55">
        <v>65155.86</v>
      </c>
      <c r="E131" s="55">
        <v>60489.18</v>
      </c>
      <c r="F131" s="55">
        <v>64143.29</v>
      </c>
      <c r="G131" s="55">
        <v>95559.07</v>
      </c>
      <c r="H131" s="55">
        <v>90850.62</v>
      </c>
      <c r="I131" s="55">
        <v>99224.99</v>
      </c>
      <c r="J131" s="55">
        <v>90812.7</v>
      </c>
      <c r="K131" s="55">
        <v>106056</v>
      </c>
      <c r="L131" s="55">
        <v>107544.15</v>
      </c>
      <c r="M131" s="55">
        <v>131435.04999999999</v>
      </c>
      <c r="N131" s="55">
        <v>65589.67</v>
      </c>
      <c r="O131" s="55">
        <v>83681.83</v>
      </c>
      <c r="P131" s="55">
        <v>103308.03</v>
      </c>
      <c r="Q131" s="55">
        <v>89961.3</v>
      </c>
      <c r="R131" s="55">
        <v>122863.33</v>
      </c>
      <c r="S131" s="55">
        <v>116859.58</v>
      </c>
      <c r="T131" s="55">
        <v>85224.03</v>
      </c>
      <c r="U131" s="55">
        <v>118711.99</v>
      </c>
      <c r="V131" s="55">
        <v>94859.95</v>
      </c>
      <c r="W131" s="55">
        <v>101866.86</v>
      </c>
      <c r="X131" s="55">
        <v>103921.82</v>
      </c>
      <c r="Y131" s="55">
        <v>134138.29</v>
      </c>
      <c r="Z131" s="55">
        <v>68314.850000000006</v>
      </c>
    </row>
    <row r="132" spans="1:26" x14ac:dyDescent="0.25">
      <c r="A132" s="55" t="s">
        <v>23</v>
      </c>
      <c r="B132" s="55">
        <v>3785.97</v>
      </c>
      <c r="C132" s="55">
        <v>13209.5</v>
      </c>
      <c r="D132" s="55">
        <v>22744.34</v>
      </c>
      <c r="E132" s="55">
        <v>19339.650000000001</v>
      </c>
      <c r="F132" s="55">
        <v>19930.91</v>
      </c>
      <c r="G132" s="55">
        <v>39162.5</v>
      </c>
      <c r="H132" s="55">
        <v>31273.21</v>
      </c>
      <c r="I132" s="55">
        <v>34333.32</v>
      </c>
      <c r="J132" s="55">
        <v>53684.35</v>
      </c>
      <c r="K132" s="55">
        <v>47632.98</v>
      </c>
      <c r="L132" s="55">
        <v>51328.63</v>
      </c>
      <c r="M132" s="55">
        <v>68663.88</v>
      </c>
      <c r="N132" s="55">
        <v>31537.77</v>
      </c>
      <c r="O132" s="55">
        <v>47416.31</v>
      </c>
      <c r="P132" s="55">
        <v>61019.73</v>
      </c>
      <c r="Q132" s="55">
        <v>36464.33</v>
      </c>
      <c r="R132" s="55">
        <v>80795.78</v>
      </c>
      <c r="S132" s="55">
        <v>51626.16</v>
      </c>
      <c r="T132" s="55">
        <v>46719.14</v>
      </c>
      <c r="U132" s="55">
        <v>52785.57</v>
      </c>
      <c r="V132" s="55">
        <v>49314.14</v>
      </c>
      <c r="W132" s="55">
        <v>54277.34</v>
      </c>
      <c r="X132" s="55">
        <v>42154.13</v>
      </c>
      <c r="Y132" s="55">
        <v>65664.850000000006</v>
      </c>
      <c r="Z132" s="55">
        <v>42766.46</v>
      </c>
    </row>
    <row r="133" spans="1:26" x14ac:dyDescent="0.25">
      <c r="A133" s="55" t="s">
        <v>22</v>
      </c>
      <c r="B133" s="55">
        <v>523.51</v>
      </c>
      <c r="C133" s="55">
        <v>10580.34</v>
      </c>
      <c r="D133" s="55">
        <v>18652.77</v>
      </c>
      <c r="E133" s="55">
        <v>17870.16</v>
      </c>
      <c r="F133" s="55">
        <v>17066.64</v>
      </c>
      <c r="G133" s="55">
        <v>23548.69</v>
      </c>
      <c r="H133" s="55">
        <v>23980.39</v>
      </c>
      <c r="I133" s="55">
        <v>22034.36</v>
      </c>
      <c r="J133" s="55">
        <v>18120.669999999998</v>
      </c>
      <c r="K133" s="55">
        <v>24291.23</v>
      </c>
      <c r="L133" s="55">
        <v>15168.04</v>
      </c>
      <c r="M133" s="55">
        <v>29340.99</v>
      </c>
      <c r="N133" s="55">
        <v>11186.19</v>
      </c>
      <c r="O133" s="55">
        <v>12352.46</v>
      </c>
      <c r="P133" s="55">
        <v>19946.3</v>
      </c>
      <c r="Q133" s="55">
        <v>17106.05</v>
      </c>
      <c r="R133" s="55">
        <v>13884.99</v>
      </c>
      <c r="S133" s="55">
        <v>24666.45</v>
      </c>
      <c r="T133" s="55">
        <v>19746.490000000002</v>
      </c>
      <c r="U133" s="55">
        <v>23955.3</v>
      </c>
      <c r="V133" s="55">
        <v>18075.16</v>
      </c>
      <c r="W133" s="55">
        <v>21248.47</v>
      </c>
      <c r="X133" s="55">
        <v>24385</v>
      </c>
      <c r="Y133" s="55">
        <v>38820.800000000003</v>
      </c>
      <c r="Z133" s="55">
        <v>18202.61</v>
      </c>
    </row>
    <row r="134" spans="1:26" x14ac:dyDescent="0.25">
      <c r="A134" s="55" t="s">
        <v>21</v>
      </c>
      <c r="B134" s="55">
        <v>4450</v>
      </c>
      <c r="C134" s="55">
        <v>38629.03</v>
      </c>
      <c r="D134" s="55">
        <v>46503.09</v>
      </c>
      <c r="E134" s="55">
        <v>42619.02</v>
      </c>
      <c r="F134" s="55">
        <v>47076.65</v>
      </c>
      <c r="G134" s="55">
        <v>72010.38</v>
      </c>
      <c r="H134" s="55">
        <v>66870.23</v>
      </c>
      <c r="I134" s="55">
        <v>77190.63</v>
      </c>
      <c r="J134" s="55">
        <v>72692.03</v>
      </c>
      <c r="K134" s="55">
        <v>81764.77</v>
      </c>
      <c r="L134" s="55">
        <v>92376.11</v>
      </c>
      <c r="M134" s="55">
        <v>102094.06</v>
      </c>
      <c r="N134" s="55">
        <v>54403.48</v>
      </c>
      <c r="O134" s="55">
        <v>71329.37</v>
      </c>
      <c r="P134" s="55">
        <v>83361.73</v>
      </c>
      <c r="Q134" s="55">
        <v>72855.25</v>
      </c>
      <c r="R134" s="55">
        <v>108978.34</v>
      </c>
      <c r="S134" s="55">
        <v>92193.13</v>
      </c>
      <c r="T134" s="55">
        <v>65477.54</v>
      </c>
      <c r="U134" s="55">
        <v>94756.69</v>
      </c>
      <c r="V134" s="55">
        <v>76784.789999999994</v>
      </c>
      <c r="W134" s="55">
        <v>80618.39</v>
      </c>
      <c r="X134" s="55">
        <v>79536.820000000007</v>
      </c>
      <c r="Y134" s="55">
        <v>95317.49</v>
      </c>
      <c r="Z134" s="55">
        <v>50112.24</v>
      </c>
    </row>
    <row r="135" spans="1:26" x14ac:dyDescent="0.25">
      <c r="A135" s="55" t="s">
        <v>13</v>
      </c>
      <c r="B135" s="55">
        <v>13732.99</v>
      </c>
      <c r="C135" s="55">
        <v>111628.24</v>
      </c>
      <c r="D135" s="55">
        <v>153056.06</v>
      </c>
      <c r="E135" s="55">
        <v>140318.01</v>
      </c>
      <c r="F135" s="55">
        <v>148217.49</v>
      </c>
      <c r="G135" s="55">
        <v>230280.64</v>
      </c>
      <c r="H135" s="55">
        <v>212974.44999999995</v>
      </c>
      <c r="I135" s="55">
        <v>232783.3</v>
      </c>
      <c r="J135" s="55">
        <v>235309.74999999997</v>
      </c>
      <c r="K135" s="55">
        <v>259744.98000000004</v>
      </c>
      <c r="L135" s="55">
        <v>266416.93</v>
      </c>
      <c r="M135" s="55">
        <v>331533.98</v>
      </c>
      <c r="N135" s="55">
        <v>162717.11000000002</v>
      </c>
      <c r="O135" s="55">
        <v>214779.97</v>
      </c>
      <c r="P135" s="55">
        <v>267635.78999999998</v>
      </c>
      <c r="Q135" s="55">
        <v>216386.93</v>
      </c>
      <c r="R135" s="55">
        <v>326522.43999999994</v>
      </c>
      <c r="S135" s="55">
        <v>285345.32</v>
      </c>
      <c r="T135" s="55">
        <v>217167.19999999998</v>
      </c>
      <c r="U135" s="55">
        <v>290209.55</v>
      </c>
      <c r="V135" s="55">
        <v>239034.03999999998</v>
      </c>
      <c r="W135" s="55">
        <v>258011.06</v>
      </c>
      <c r="X135" s="55">
        <v>249997.77000000002</v>
      </c>
      <c r="Y135" s="55">
        <v>333941.43</v>
      </c>
    </row>
    <row r="137" spans="1:26" x14ac:dyDescent="0.25">
      <c r="A137" s="55" t="s">
        <v>1087</v>
      </c>
      <c r="E137" s="55" t="s">
        <v>1089</v>
      </c>
      <c r="I137" s="55" t="s">
        <v>1090</v>
      </c>
      <c r="M137" s="55" t="s">
        <v>1091</v>
      </c>
    </row>
    <row r="138" spans="1:26" x14ac:dyDescent="0.25">
      <c r="B138" s="55">
        <v>2017</v>
      </c>
      <c r="C138" s="55">
        <v>2018</v>
      </c>
      <c r="F138" s="55" t="s">
        <v>1018</v>
      </c>
      <c r="G138" s="55" t="s">
        <v>1017</v>
      </c>
      <c r="J138" s="55" t="s">
        <v>1018</v>
      </c>
      <c r="K138" s="55" t="s">
        <v>1017</v>
      </c>
      <c r="N138" s="55" t="s">
        <v>1018</v>
      </c>
      <c r="O138" s="55" t="s">
        <v>1017</v>
      </c>
    </row>
    <row r="139" spans="1:26" x14ac:dyDescent="0.25">
      <c r="A139" s="55" t="s">
        <v>964</v>
      </c>
      <c r="B139" s="55">
        <v>571.65943577004975</v>
      </c>
      <c r="C139" s="55">
        <v>559.32365658870503</v>
      </c>
      <c r="E139" s="55" t="s">
        <v>964</v>
      </c>
      <c r="F139" s="54">
        <v>3066</v>
      </c>
      <c r="G139" s="54">
        <v>3458</v>
      </c>
      <c r="H139" s="54"/>
      <c r="I139" s="55" t="s">
        <v>964</v>
      </c>
      <c r="J139" s="55">
        <v>1726264.97</v>
      </c>
      <c r="K139" s="55">
        <v>1905282.6500000001</v>
      </c>
      <c r="M139" s="55" t="s">
        <v>964</v>
      </c>
      <c r="N139" s="55">
        <v>563.03488910632746</v>
      </c>
      <c r="O139" s="55">
        <v>550.97820994794688</v>
      </c>
    </row>
    <row r="140" spans="1:26" x14ac:dyDescent="0.25">
      <c r="A140" s="55" t="s">
        <v>1002</v>
      </c>
      <c r="B140" s="55">
        <v>331.24125279642055</v>
      </c>
      <c r="C140" s="55">
        <v>371.36299389002033</v>
      </c>
      <c r="E140" s="55" t="s">
        <v>1002</v>
      </c>
      <c r="F140" s="54">
        <v>476</v>
      </c>
      <c r="G140" s="54">
        <v>487</v>
      </c>
      <c r="H140" s="54"/>
      <c r="I140" s="55" t="s">
        <v>1002</v>
      </c>
      <c r="J140" s="55">
        <v>164804.07999999999</v>
      </c>
      <c r="K140" s="55">
        <v>166287.65999999997</v>
      </c>
      <c r="M140" s="55" t="s">
        <v>1002</v>
      </c>
      <c r="N140" s="55">
        <v>346.22705882352938</v>
      </c>
      <c r="O140" s="55">
        <v>341.4531006160164</v>
      </c>
    </row>
    <row r="141" spans="1:26" x14ac:dyDescent="0.25">
      <c r="A141" s="55" t="s">
        <v>962</v>
      </c>
      <c r="B141" s="55">
        <v>139.28898014997793</v>
      </c>
      <c r="C141" s="55">
        <v>128.26496140858663</v>
      </c>
      <c r="E141" s="55" t="s">
        <v>962</v>
      </c>
      <c r="F141" s="54">
        <v>12363</v>
      </c>
      <c r="G141" s="54">
        <v>12240</v>
      </c>
      <c r="H141" s="54"/>
      <c r="I141" s="55" t="s">
        <v>962</v>
      </c>
      <c r="J141" s="55">
        <v>1647582.24</v>
      </c>
      <c r="K141" s="55">
        <v>1567370.82</v>
      </c>
      <c r="M141" s="55" t="s">
        <v>962</v>
      </c>
      <c r="N141" s="55">
        <v>133.26718757583112</v>
      </c>
      <c r="O141" s="55">
        <v>128.05317156862745</v>
      </c>
    </row>
    <row r="142" spans="1:26" x14ac:dyDescent="0.25">
      <c r="A142" s="55" t="s">
        <v>961</v>
      </c>
      <c r="B142" s="55">
        <v>67.174818101153505</v>
      </c>
      <c r="C142" s="55">
        <v>64.495137795275582</v>
      </c>
      <c r="E142" s="55" t="s">
        <v>961</v>
      </c>
      <c r="F142" s="54">
        <v>2448</v>
      </c>
      <c r="G142" s="54">
        <v>2498</v>
      </c>
      <c r="H142" s="54"/>
      <c r="I142" s="55" t="s">
        <v>961</v>
      </c>
      <c r="J142" s="55">
        <v>156688.96999999997</v>
      </c>
      <c r="K142" s="55">
        <v>162246.18</v>
      </c>
      <c r="M142" s="55" t="s">
        <v>961</v>
      </c>
      <c r="N142" s="55">
        <v>64.006932189542468</v>
      </c>
      <c r="O142" s="55">
        <v>64.950432345876692</v>
      </c>
    </row>
    <row r="143" spans="1:26" x14ac:dyDescent="0.25">
      <c r="A143" s="55" t="s">
        <v>960</v>
      </c>
      <c r="B143" s="55">
        <v>19770.642258064519</v>
      </c>
      <c r="C143" s="55">
        <v>11498.628125000001</v>
      </c>
      <c r="E143" s="55" t="s">
        <v>960</v>
      </c>
      <c r="F143" s="54">
        <v>93</v>
      </c>
      <c r="G143" s="54">
        <v>117</v>
      </c>
      <c r="H143" s="54"/>
      <c r="I143" s="55" t="s">
        <v>960</v>
      </c>
      <c r="J143" s="55">
        <v>1841679.43</v>
      </c>
      <c r="K143" s="55">
        <v>1444246.25</v>
      </c>
      <c r="M143" s="55" t="s">
        <v>960</v>
      </c>
      <c r="N143" s="55">
        <v>19803.004623655914</v>
      </c>
      <c r="O143" s="55">
        <v>12343.985042735043</v>
      </c>
    </row>
    <row r="145" spans="1:15" x14ac:dyDescent="0.25">
      <c r="A145" s="55" t="s">
        <v>1088</v>
      </c>
      <c r="E145" s="55" t="s">
        <v>1092</v>
      </c>
      <c r="I145" s="55" t="s">
        <v>1093</v>
      </c>
      <c r="M145" s="55" t="s">
        <v>1094</v>
      </c>
    </row>
    <row r="146" spans="1:15" x14ac:dyDescent="0.25">
      <c r="B146" s="55">
        <v>2017</v>
      </c>
      <c r="C146" s="55">
        <v>2018</v>
      </c>
      <c r="F146" s="55" t="s">
        <v>1018</v>
      </c>
      <c r="G146" s="55" t="s">
        <v>1017</v>
      </c>
      <c r="J146" s="55" t="s">
        <v>1018</v>
      </c>
      <c r="K146" s="55" t="s">
        <v>1017</v>
      </c>
      <c r="N146" s="55" t="s">
        <v>1018</v>
      </c>
      <c r="O146" s="55" t="s">
        <v>1017</v>
      </c>
    </row>
    <row r="147" spans="1:15" x14ac:dyDescent="0.25">
      <c r="A147" s="55" t="s">
        <v>25</v>
      </c>
      <c r="B147" s="55">
        <v>0</v>
      </c>
      <c r="C147" s="55">
        <v>0</v>
      </c>
      <c r="E147" s="55" t="s">
        <v>25</v>
      </c>
      <c r="F147" s="54">
        <v>0</v>
      </c>
      <c r="G147" s="54">
        <v>0</v>
      </c>
      <c r="H147" s="54"/>
      <c r="I147" s="55" t="s">
        <v>25</v>
      </c>
      <c r="J147" s="55">
        <v>0</v>
      </c>
      <c r="K147" s="55">
        <v>0</v>
      </c>
      <c r="M147" s="55" t="s">
        <v>25</v>
      </c>
      <c r="N147" s="55">
        <v>0</v>
      </c>
      <c r="O147" s="55">
        <v>0</v>
      </c>
    </row>
    <row r="148" spans="1:15" x14ac:dyDescent="0.25">
      <c r="A148" s="55" t="s">
        <v>24</v>
      </c>
      <c r="B148" s="55">
        <v>83.831672473867584</v>
      </c>
      <c r="C148" s="55">
        <v>79.702586206896555</v>
      </c>
      <c r="E148" s="55" t="s">
        <v>24</v>
      </c>
      <c r="F148" s="54">
        <v>310</v>
      </c>
      <c r="G148" s="54">
        <v>338</v>
      </c>
      <c r="H148" s="54"/>
      <c r="I148" s="55" t="s">
        <v>24</v>
      </c>
      <c r="J148" s="55">
        <v>25875.98</v>
      </c>
      <c r="K148" s="55">
        <v>27022.730000000007</v>
      </c>
      <c r="M148" s="55" t="s">
        <v>24</v>
      </c>
      <c r="N148" s="55">
        <v>83.470903225806452</v>
      </c>
      <c r="O148" s="55">
        <v>79.948905325443803</v>
      </c>
    </row>
    <row r="149" spans="1:15" x14ac:dyDescent="0.25">
      <c r="A149" s="55" t="s">
        <v>23</v>
      </c>
      <c r="B149" s="55">
        <v>78.467584905660374</v>
      </c>
      <c r="C149" s="55">
        <v>79.037863777089768</v>
      </c>
      <c r="E149" s="55" t="s">
        <v>23</v>
      </c>
      <c r="F149" s="54">
        <v>289</v>
      </c>
      <c r="G149" s="54">
        <v>310</v>
      </c>
      <c r="H149" s="54"/>
      <c r="I149" s="55" t="s">
        <v>23</v>
      </c>
      <c r="J149" s="55">
        <v>22677.69</v>
      </c>
      <c r="K149" s="55">
        <v>24522.170000000002</v>
      </c>
      <c r="M149" s="55" t="s">
        <v>23</v>
      </c>
      <c r="N149" s="55">
        <v>78.469515570934249</v>
      </c>
      <c r="O149" s="55">
        <v>79.103774193548389</v>
      </c>
    </row>
    <row r="150" spans="1:15" x14ac:dyDescent="0.25">
      <c r="A150" s="55" t="s">
        <v>22</v>
      </c>
      <c r="B150" s="55">
        <v>58.553104265402844</v>
      </c>
      <c r="C150" s="55">
        <v>59.813607214428863</v>
      </c>
      <c r="E150" s="55" t="s">
        <v>22</v>
      </c>
      <c r="F150" s="54">
        <v>454</v>
      </c>
      <c r="G150" s="54">
        <v>480</v>
      </c>
      <c r="H150" s="54"/>
      <c r="I150" s="55" t="s">
        <v>22</v>
      </c>
      <c r="J150" s="55">
        <v>26721.21</v>
      </c>
      <c r="K150" s="55">
        <v>28564.340000000004</v>
      </c>
      <c r="M150" s="55" t="s">
        <v>22</v>
      </c>
      <c r="N150" s="55">
        <v>58.857290748898677</v>
      </c>
      <c r="O150" s="55">
        <v>59.509041666666675</v>
      </c>
    </row>
    <row r="151" spans="1:15" x14ac:dyDescent="0.25">
      <c r="A151" s="55" t="s">
        <v>21</v>
      </c>
      <c r="B151" s="55">
        <v>88.795630252100821</v>
      </c>
      <c r="C151" s="55">
        <v>79.907709923664115</v>
      </c>
      <c r="E151" s="55" t="s">
        <v>21</v>
      </c>
      <c r="F151" s="54">
        <v>127</v>
      </c>
      <c r="G151" s="54">
        <v>126</v>
      </c>
      <c r="H151" s="54"/>
      <c r="I151" s="55" t="s">
        <v>21</v>
      </c>
      <c r="J151" s="55">
        <v>11058.68</v>
      </c>
      <c r="K151" s="55">
        <v>10327.16</v>
      </c>
      <c r="M151" s="55" t="s">
        <v>21</v>
      </c>
      <c r="N151" s="55">
        <v>87.076220472440951</v>
      </c>
      <c r="O151" s="55">
        <v>81.961587301587301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407F7-3190-48B1-89D9-28C5EA1A7FE4}">
  <sheetPr codeName="Sheet60"/>
  <dimension ref="A1"/>
  <sheetViews>
    <sheetView workbookViewId="0">
      <selection activeCell="I17" sqref="I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74228-9774-4834-BA0F-E564FD3B6A85}">
  <sheetPr codeName="Sheet61"/>
  <dimension ref="A1"/>
  <sheetViews>
    <sheetView workbookViewId="0">
      <selection activeCell="I17" sqref="I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3C6BE-AFE4-4833-8B2D-77E114BB4283}">
  <sheetPr codeName="Sheet62"/>
  <dimension ref="A1"/>
  <sheetViews>
    <sheetView workbookViewId="0">
      <selection activeCell="A17" sqref="A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D8F57-A78B-4180-BAFC-DCEB3D3B56E6}">
  <sheetPr codeName="Sheet63"/>
  <dimension ref="A1"/>
  <sheetViews>
    <sheetView workbookViewId="0">
      <selection activeCell="I17" sqref="I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817B6-50FD-48C8-AF29-4B68EE219866}">
  <sheetPr codeName="Sheet3"/>
  <dimension ref="A1:W57"/>
  <sheetViews>
    <sheetView topLeftCell="A16" workbookViewId="0">
      <selection activeCell="D33" sqref="D33"/>
    </sheetView>
  </sheetViews>
  <sheetFormatPr defaultRowHeight="15" x14ac:dyDescent="0.25"/>
  <cols>
    <col min="1" max="1" width="16.28515625" bestFit="1" customWidth="1"/>
    <col min="2" max="2" width="12.7109375" bestFit="1" customWidth="1"/>
    <col min="3" max="3" width="25.5703125" bestFit="1" customWidth="1"/>
    <col min="4" max="4" width="22" bestFit="1" customWidth="1"/>
    <col min="5" max="5" width="14" bestFit="1" customWidth="1"/>
    <col min="7" max="7" width="16.28515625" bestFit="1" customWidth="1"/>
    <col min="8" max="8" width="11.85546875" bestFit="1" customWidth="1"/>
    <col min="9" max="9" width="25.5703125" bestFit="1" customWidth="1"/>
    <col min="10" max="10" width="15.42578125" bestFit="1" customWidth="1"/>
    <col min="11" max="11" width="14" bestFit="1" customWidth="1"/>
    <col min="13" max="13" width="16.28515625" bestFit="1" customWidth="1"/>
    <col min="14" max="14" width="11.85546875" bestFit="1" customWidth="1"/>
    <col min="15" max="15" width="25.5703125" bestFit="1" customWidth="1"/>
    <col min="16" max="16" width="15.42578125" bestFit="1" customWidth="1"/>
    <col min="17" max="17" width="14" bestFit="1" customWidth="1"/>
    <col min="19" max="19" width="16.28515625" bestFit="1" customWidth="1"/>
    <col min="20" max="20" width="11.85546875" bestFit="1" customWidth="1"/>
    <col min="21" max="21" width="25.5703125" bestFit="1" customWidth="1"/>
    <col min="22" max="22" width="15.42578125" bestFit="1" customWidth="1"/>
    <col min="23" max="23" width="14" bestFit="1" customWidth="1"/>
  </cols>
  <sheetData>
    <row r="1" spans="1:23" s="1" customFormat="1" ht="22.5" customHeight="1" x14ac:dyDescent="0.35">
      <c r="A1" s="61" t="s">
        <v>31</v>
      </c>
      <c r="B1" s="61"/>
      <c r="C1" s="61"/>
      <c r="D1" s="61"/>
      <c r="E1" s="61"/>
    </row>
    <row r="2" spans="1:23" s="1" customFormat="1" ht="21.75" customHeight="1" x14ac:dyDescent="0.35">
      <c r="A2" s="61" t="s">
        <v>26</v>
      </c>
      <c r="B2" s="61"/>
      <c r="C2" s="61"/>
      <c r="D2" s="61"/>
      <c r="E2" s="61"/>
      <c r="G2" s="59" t="s">
        <v>30</v>
      </c>
      <c r="H2" s="59"/>
      <c r="I2" s="59"/>
      <c r="J2" s="59"/>
      <c r="K2" s="59"/>
      <c r="L2" s="2"/>
      <c r="M2" s="59" t="s">
        <v>32</v>
      </c>
      <c r="N2" s="59"/>
      <c r="O2" s="59"/>
      <c r="P2" s="59"/>
      <c r="Q2" s="59"/>
      <c r="R2" s="3"/>
      <c r="S2" s="59" t="s">
        <v>33</v>
      </c>
      <c r="T2" s="59"/>
      <c r="U2" s="59"/>
      <c r="V2" s="59"/>
      <c r="W2" s="59"/>
    </row>
    <row r="3" spans="1:23" s="1" customFormat="1" ht="15.75" x14ac:dyDescent="0.25">
      <c r="A3" s="4" t="s">
        <v>15</v>
      </c>
      <c r="B3" s="4" t="s">
        <v>14</v>
      </c>
      <c r="C3" s="4" t="s">
        <v>19</v>
      </c>
      <c r="D3" s="4" t="s">
        <v>27</v>
      </c>
      <c r="E3" s="4" t="s">
        <v>28</v>
      </c>
      <c r="G3" s="4" t="s">
        <v>15</v>
      </c>
      <c r="H3" s="4" t="s">
        <v>14</v>
      </c>
      <c r="I3" s="4" t="s">
        <v>19</v>
      </c>
      <c r="J3" s="4" t="s">
        <v>27</v>
      </c>
      <c r="K3" s="4" t="s">
        <v>28</v>
      </c>
      <c r="M3" s="4" t="s">
        <v>15</v>
      </c>
      <c r="N3" s="4" t="s">
        <v>14</v>
      </c>
      <c r="O3" s="4" t="s">
        <v>19</v>
      </c>
      <c r="P3" s="4" t="s">
        <v>27</v>
      </c>
      <c r="Q3" s="4" t="s">
        <v>28</v>
      </c>
      <c r="S3" s="4" t="s">
        <v>15</v>
      </c>
      <c r="T3" s="4" t="s">
        <v>14</v>
      </c>
      <c r="U3" s="4" t="s">
        <v>19</v>
      </c>
      <c r="V3" s="4" t="s">
        <v>27</v>
      </c>
      <c r="W3" s="4" t="s">
        <v>28</v>
      </c>
    </row>
    <row r="4" spans="1:23" s="1" customFormat="1" ht="15.75" x14ac:dyDescent="0.25">
      <c r="A4" s="5" t="s">
        <v>16</v>
      </c>
      <c r="B4" s="1">
        <v>14</v>
      </c>
      <c r="C4" s="6">
        <v>627.65</v>
      </c>
      <c r="D4" s="6">
        <f>B4*C4</f>
        <v>8787.1</v>
      </c>
      <c r="G4" s="5" t="s">
        <v>16</v>
      </c>
      <c r="H4" s="7">
        <v>8</v>
      </c>
      <c r="I4" s="6">
        <v>594.66</v>
      </c>
      <c r="J4" s="6">
        <f>I4*H4</f>
        <v>4757.28</v>
      </c>
      <c r="K4" s="6"/>
      <c r="M4" s="5" t="s">
        <v>16</v>
      </c>
      <c r="N4" s="1">
        <v>37</v>
      </c>
      <c r="O4" s="6">
        <v>531.07000000000005</v>
      </c>
      <c r="P4" s="6">
        <f>O4*N4</f>
        <v>19649.59</v>
      </c>
      <c r="Q4" s="6"/>
      <c r="S4" s="5" t="s">
        <v>16</v>
      </c>
      <c r="T4" s="1">
        <v>1</v>
      </c>
      <c r="U4" s="6">
        <v>497.11</v>
      </c>
      <c r="V4" s="6">
        <f>U4*T4</f>
        <v>497.11</v>
      </c>
      <c r="W4" s="6"/>
    </row>
    <row r="5" spans="1:23" s="1" customFormat="1" x14ac:dyDescent="0.25">
      <c r="A5" s="8" t="s">
        <v>17</v>
      </c>
      <c r="B5" s="1">
        <v>5</v>
      </c>
      <c r="C5" s="6">
        <v>1410.34</v>
      </c>
      <c r="D5" s="6">
        <f>B5*C5</f>
        <v>7051.7</v>
      </c>
      <c r="G5" s="8" t="s">
        <v>17</v>
      </c>
      <c r="H5" s="7">
        <v>13</v>
      </c>
      <c r="I5" s="6">
        <v>1336.11</v>
      </c>
      <c r="J5" s="6">
        <f>I5*H5</f>
        <v>17369.43</v>
      </c>
      <c r="K5" s="6"/>
      <c r="M5" s="8" t="s">
        <v>17</v>
      </c>
      <c r="N5" s="1">
        <v>20</v>
      </c>
      <c r="O5" s="6">
        <v>1193.03</v>
      </c>
      <c r="P5" s="6">
        <f>O5*N5</f>
        <v>23860.6</v>
      </c>
      <c r="Q5" s="6"/>
      <c r="S5" s="8" t="s">
        <v>17</v>
      </c>
      <c r="T5" s="1">
        <v>0</v>
      </c>
      <c r="U5" s="6">
        <v>1116.6199999999999</v>
      </c>
      <c r="V5" s="6">
        <f>U5*T5</f>
        <v>0</v>
      </c>
      <c r="W5" s="6"/>
    </row>
    <row r="6" spans="1:23" s="1" customFormat="1" x14ac:dyDescent="0.25">
      <c r="A6" s="8" t="s">
        <v>18</v>
      </c>
      <c r="B6" s="1">
        <v>34</v>
      </c>
      <c r="C6" s="6">
        <v>1754.71</v>
      </c>
      <c r="D6" s="9">
        <f>B6*C6</f>
        <v>59660.14</v>
      </c>
      <c r="G6" s="8" t="s">
        <v>18</v>
      </c>
      <c r="H6" s="7">
        <v>18</v>
      </c>
      <c r="I6" s="6">
        <v>1662.36</v>
      </c>
      <c r="J6" s="6">
        <f>I6*H6</f>
        <v>29922.48</v>
      </c>
      <c r="K6" s="6"/>
      <c r="M6" s="8" t="s">
        <v>18</v>
      </c>
      <c r="N6" s="1">
        <v>156</v>
      </c>
      <c r="O6" s="6">
        <v>1484.3</v>
      </c>
      <c r="P6" s="6">
        <f>O6*N6</f>
        <v>231550.8</v>
      </c>
      <c r="Q6" s="6"/>
      <c r="S6" s="8" t="s">
        <v>18</v>
      </c>
      <c r="T6" s="1">
        <v>3</v>
      </c>
      <c r="U6" s="6">
        <v>1389.21</v>
      </c>
      <c r="V6" s="6">
        <f>U6*T6</f>
        <v>4167.63</v>
      </c>
      <c r="W6" s="6"/>
    </row>
    <row r="7" spans="1:23" s="1" customFormat="1" ht="15.75" x14ac:dyDescent="0.25">
      <c r="A7" s="5" t="s">
        <v>13</v>
      </c>
      <c r="C7" s="6"/>
      <c r="D7" s="6">
        <f>SUM(D4:D6)</f>
        <v>75498.94</v>
      </c>
      <c r="E7" s="10"/>
      <c r="G7" s="5" t="s">
        <v>13</v>
      </c>
      <c r="H7" s="6"/>
      <c r="I7" s="6"/>
      <c r="J7" s="11">
        <f>SUM(J4:J6)</f>
        <v>52049.19</v>
      </c>
      <c r="K7" s="10"/>
      <c r="M7" s="5" t="s">
        <v>13</v>
      </c>
      <c r="O7" s="6"/>
      <c r="P7" s="12">
        <f>SUM(P4:P6)</f>
        <v>275060.99</v>
      </c>
      <c r="Q7" s="10"/>
      <c r="S7" s="5" t="s">
        <v>13</v>
      </c>
      <c r="U7" s="6"/>
      <c r="V7" s="12">
        <f>SUM(V4:V6)</f>
        <v>4664.74</v>
      </c>
      <c r="W7" s="10"/>
    </row>
    <row r="8" spans="1:23" s="1" customFormat="1" x14ac:dyDescent="0.25">
      <c r="A8" s="8"/>
      <c r="E8" s="10">
        <v>905987.28</v>
      </c>
      <c r="G8" s="8"/>
      <c r="K8" s="10">
        <v>624590.28</v>
      </c>
      <c r="M8" s="8"/>
      <c r="Q8" s="10">
        <v>3300731.88</v>
      </c>
      <c r="S8" s="8"/>
      <c r="W8" s="10">
        <v>55976.88</v>
      </c>
    </row>
    <row r="9" spans="1:23" s="1" customFormat="1" x14ac:dyDescent="0.25">
      <c r="A9" s="8" t="s">
        <v>29</v>
      </c>
      <c r="B9" s="6">
        <f>SUM(E8:W8)</f>
        <v>4887286.3199999994</v>
      </c>
      <c r="G9" s="8"/>
      <c r="M9" s="8"/>
      <c r="S9" s="8"/>
    </row>
    <row r="10" spans="1:23" s="1" customFormat="1" x14ac:dyDescent="0.25">
      <c r="A10" s="8"/>
    </row>
    <row r="11" spans="1:23" s="1" customFormat="1" ht="15.75" x14ac:dyDescent="0.25">
      <c r="A11" s="5"/>
    </row>
    <row r="12" spans="1:23" s="1" customFormat="1" ht="15.75" x14ac:dyDescent="0.25">
      <c r="A12" s="4" t="s">
        <v>20</v>
      </c>
      <c r="B12" s="4" t="s">
        <v>14</v>
      </c>
      <c r="C12" s="4" t="s">
        <v>19</v>
      </c>
      <c r="D12" s="4" t="s">
        <v>27</v>
      </c>
      <c r="E12" s="4" t="s">
        <v>28</v>
      </c>
      <c r="G12" s="4" t="s">
        <v>20</v>
      </c>
      <c r="H12" s="4" t="s">
        <v>14</v>
      </c>
      <c r="I12" s="4" t="s">
        <v>19</v>
      </c>
      <c r="J12" s="4" t="s">
        <v>27</v>
      </c>
      <c r="K12" s="4" t="s">
        <v>28</v>
      </c>
      <c r="M12" s="4" t="s">
        <v>20</v>
      </c>
      <c r="N12" s="4" t="s">
        <v>14</v>
      </c>
      <c r="O12" s="4" t="s">
        <v>19</v>
      </c>
      <c r="P12" s="4" t="s">
        <v>27</v>
      </c>
      <c r="Q12" s="4" t="s">
        <v>28</v>
      </c>
      <c r="S12" s="4" t="s">
        <v>20</v>
      </c>
      <c r="T12" s="4" t="s">
        <v>14</v>
      </c>
      <c r="U12" s="4" t="s">
        <v>19</v>
      </c>
      <c r="V12" s="4" t="s">
        <v>27</v>
      </c>
      <c r="W12" s="4" t="s">
        <v>28</v>
      </c>
    </row>
    <row r="13" spans="1:23" s="1" customFormat="1" ht="15.75" x14ac:dyDescent="0.25">
      <c r="A13" s="5" t="s">
        <v>16</v>
      </c>
      <c r="B13" s="1">
        <v>14</v>
      </c>
      <c r="C13" s="6">
        <v>43.29</v>
      </c>
      <c r="D13" s="6">
        <f>C13*B13</f>
        <v>606.05999999999995</v>
      </c>
      <c r="E13" s="6"/>
      <c r="G13" s="5" t="s">
        <v>16</v>
      </c>
      <c r="H13" s="7">
        <v>8</v>
      </c>
      <c r="I13" s="6">
        <v>43.29</v>
      </c>
      <c r="J13" s="6">
        <f>I13*H13</f>
        <v>346.32</v>
      </c>
      <c r="K13" s="6"/>
      <c r="M13" s="5" t="s">
        <v>16</v>
      </c>
      <c r="N13" s="1">
        <v>37</v>
      </c>
      <c r="O13" s="6">
        <v>43.29</v>
      </c>
      <c r="P13" s="6">
        <f>O13*N13</f>
        <v>1601.73</v>
      </c>
      <c r="Q13" s="6"/>
      <c r="S13" s="5" t="s">
        <v>16</v>
      </c>
      <c r="T13" s="1">
        <v>1</v>
      </c>
      <c r="U13" s="6">
        <v>43.29</v>
      </c>
      <c r="V13" s="6">
        <f>U13*T13</f>
        <v>43.29</v>
      </c>
      <c r="W13" s="6"/>
    </row>
    <row r="14" spans="1:23" s="1" customFormat="1" x14ac:dyDescent="0.25">
      <c r="A14" s="8" t="s">
        <v>17</v>
      </c>
      <c r="B14" s="1">
        <v>5</v>
      </c>
      <c r="C14" s="6">
        <v>82.54</v>
      </c>
      <c r="D14" s="6">
        <f>C14*B14</f>
        <v>412.70000000000005</v>
      </c>
      <c r="E14" s="6"/>
      <c r="G14" s="8" t="s">
        <v>17</v>
      </c>
      <c r="H14" s="7">
        <v>13</v>
      </c>
      <c r="I14" s="6">
        <v>82.54</v>
      </c>
      <c r="J14" s="6">
        <f>I14*H14</f>
        <v>1073.02</v>
      </c>
      <c r="K14" s="6"/>
      <c r="M14" s="8" t="s">
        <v>17</v>
      </c>
      <c r="N14" s="1">
        <v>20</v>
      </c>
      <c r="O14" s="6">
        <v>82.54</v>
      </c>
      <c r="P14" s="6">
        <f>O14*N14</f>
        <v>1650.8000000000002</v>
      </c>
      <c r="Q14" s="6"/>
      <c r="S14" s="8" t="s">
        <v>17</v>
      </c>
      <c r="T14" s="1">
        <v>0</v>
      </c>
      <c r="U14" s="6">
        <v>82.54</v>
      </c>
      <c r="V14" s="6">
        <f>U14*T14</f>
        <v>0</v>
      </c>
      <c r="W14" s="6"/>
    </row>
    <row r="15" spans="1:23" s="1" customFormat="1" x14ac:dyDescent="0.25">
      <c r="A15" s="8" t="s">
        <v>18</v>
      </c>
      <c r="B15" s="1">
        <v>34</v>
      </c>
      <c r="C15" s="6">
        <v>159.15</v>
      </c>
      <c r="D15" s="6">
        <f>C15*B15</f>
        <v>5411.1</v>
      </c>
      <c r="E15" s="6"/>
      <c r="G15" s="8" t="s">
        <v>18</v>
      </c>
      <c r="H15" s="7">
        <v>18</v>
      </c>
      <c r="I15" s="6">
        <v>159.15</v>
      </c>
      <c r="J15" s="6">
        <f>I15*H15</f>
        <v>2864.7000000000003</v>
      </c>
      <c r="K15" s="6"/>
      <c r="M15" s="8" t="s">
        <v>18</v>
      </c>
      <c r="N15" s="1">
        <v>156</v>
      </c>
      <c r="O15" s="6">
        <v>159.15</v>
      </c>
      <c r="P15" s="6">
        <f>O15*N15</f>
        <v>24827.4</v>
      </c>
      <c r="Q15" s="6"/>
      <c r="S15" s="8" t="s">
        <v>18</v>
      </c>
      <c r="T15" s="1">
        <v>3</v>
      </c>
      <c r="U15" s="6">
        <v>159.15</v>
      </c>
      <c r="V15" s="6">
        <f>U15*T15</f>
        <v>477.45000000000005</v>
      </c>
      <c r="W15" s="6"/>
    </row>
    <row r="16" spans="1:23" s="1" customFormat="1" ht="15.75" x14ac:dyDescent="0.25">
      <c r="A16" s="5" t="s">
        <v>13</v>
      </c>
      <c r="C16" s="6"/>
      <c r="D16" s="11">
        <f>SUM(D13:D15)</f>
        <v>6429.8600000000006</v>
      </c>
      <c r="E16" s="10"/>
      <c r="G16" s="5" t="s">
        <v>13</v>
      </c>
      <c r="I16" s="6"/>
      <c r="J16" s="11">
        <f>SUM(J13:J15)</f>
        <v>4284.04</v>
      </c>
      <c r="K16" s="10"/>
      <c r="M16" s="5" t="s">
        <v>13</v>
      </c>
      <c r="O16" s="6"/>
      <c r="P16" s="11">
        <f>SUM(P13:P15)</f>
        <v>28079.93</v>
      </c>
      <c r="Q16" s="10"/>
      <c r="S16" s="5" t="s">
        <v>13</v>
      </c>
      <c r="U16" s="6"/>
      <c r="V16" s="11">
        <f>SUM(V13:V15)</f>
        <v>520.74</v>
      </c>
      <c r="W16" s="10"/>
    </row>
    <row r="17" spans="1:23" s="1" customFormat="1" x14ac:dyDescent="0.25">
      <c r="A17" s="8"/>
      <c r="C17" s="6"/>
      <c r="D17" s="6"/>
      <c r="E17" s="10">
        <f>D16*12</f>
        <v>77158.320000000007</v>
      </c>
      <c r="I17" s="6"/>
      <c r="J17" s="6"/>
      <c r="K17" s="10">
        <f>J16*12</f>
        <v>51408.479999999996</v>
      </c>
      <c r="O17" s="6"/>
      <c r="P17" s="6"/>
      <c r="Q17" s="10">
        <f>P16*12</f>
        <v>336959.16000000003</v>
      </c>
      <c r="U17" s="6"/>
      <c r="V17" s="6"/>
      <c r="W17" s="10">
        <f>V16*12</f>
        <v>6248.88</v>
      </c>
    </row>
    <row r="18" spans="1:23" s="1" customFormat="1" x14ac:dyDescent="0.25">
      <c r="A18" s="8" t="s">
        <v>29</v>
      </c>
      <c r="B18" s="6">
        <f>SUM(E17:W17)</f>
        <v>471774.84</v>
      </c>
    </row>
    <row r="19" spans="1:23" s="1" customFormat="1" x14ac:dyDescent="0.25"/>
    <row r="20" spans="1:23" s="1" customFormat="1" x14ac:dyDescent="0.25"/>
    <row r="21" spans="1:23" s="1" customFormat="1" ht="15.75" x14ac:dyDescent="0.25">
      <c r="A21" s="4" t="s">
        <v>34</v>
      </c>
      <c r="B21" s="4" t="s">
        <v>14</v>
      </c>
      <c r="C21" s="4" t="s">
        <v>19</v>
      </c>
      <c r="D21" s="4" t="s">
        <v>27</v>
      </c>
      <c r="E21" s="4" t="s">
        <v>28</v>
      </c>
      <c r="G21" s="4" t="s">
        <v>34</v>
      </c>
      <c r="H21" s="4" t="s">
        <v>14</v>
      </c>
      <c r="I21" s="4" t="s">
        <v>19</v>
      </c>
      <c r="J21" s="4" t="s">
        <v>27</v>
      </c>
      <c r="K21" s="4" t="s">
        <v>28</v>
      </c>
      <c r="M21" s="4" t="s">
        <v>34</v>
      </c>
      <c r="N21" s="4" t="s">
        <v>14</v>
      </c>
      <c r="O21" s="4" t="s">
        <v>19</v>
      </c>
      <c r="P21" s="4" t="s">
        <v>27</v>
      </c>
      <c r="Q21" s="4" t="s">
        <v>28</v>
      </c>
      <c r="S21" s="4" t="s">
        <v>34</v>
      </c>
      <c r="T21" s="4" t="s">
        <v>14</v>
      </c>
      <c r="U21" s="4" t="s">
        <v>19</v>
      </c>
      <c r="V21" s="4" t="s">
        <v>27</v>
      </c>
      <c r="W21" s="4" t="s">
        <v>28</v>
      </c>
    </row>
    <row r="22" spans="1:23" s="1" customFormat="1" ht="15.75" x14ac:dyDescent="0.25">
      <c r="A22" s="5" t="s">
        <v>16</v>
      </c>
      <c r="B22" s="1">
        <v>14</v>
      </c>
      <c r="C22" s="6">
        <v>6.65</v>
      </c>
      <c r="D22" s="6">
        <f>C22*B22</f>
        <v>93.100000000000009</v>
      </c>
      <c r="E22" s="6"/>
      <c r="G22" s="5" t="s">
        <v>16</v>
      </c>
      <c r="H22" s="7">
        <v>8</v>
      </c>
      <c r="I22" s="6">
        <v>6.65</v>
      </c>
      <c r="J22" s="6">
        <f>I22*H22</f>
        <v>53.2</v>
      </c>
      <c r="K22" s="6"/>
      <c r="M22" s="5" t="s">
        <v>16</v>
      </c>
      <c r="N22" s="1">
        <v>37</v>
      </c>
      <c r="O22" s="6">
        <v>6.65</v>
      </c>
      <c r="P22" s="6">
        <f>O22*N22</f>
        <v>246.05</v>
      </c>
      <c r="Q22" s="6"/>
      <c r="S22" s="5" t="s">
        <v>16</v>
      </c>
      <c r="T22" s="1">
        <v>1</v>
      </c>
      <c r="U22" s="6">
        <v>6.65</v>
      </c>
      <c r="V22" s="6">
        <f>U22*T22</f>
        <v>6.65</v>
      </c>
      <c r="W22" s="6"/>
    </row>
    <row r="23" spans="1:23" s="1" customFormat="1" x14ac:dyDescent="0.25">
      <c r="A23" s="8" t="s">
        <v>17</v>
      </c>
      <c r="B23" s="1">
        <v>5</v>
      </c>
      <c r="C23" s="6">
        <v>14.27</v>
      </c>
      <c r="D23" s="6">
        <f>C23*B23</f>
        <v>71.349999999999994</v>
      </c>
      <c r="E23" s="6"/>
      <c r="G23" s="8" t="s">
        <v>17</v>
      </c>
      <c r="H23" s="7">
        <v>13</v>
      </c>
      <c r="I23" s="6">
        <v>14.27</v>
      </c>
      <c r="J23" s="6">
        <f>I23*H23</f>
        <v>185.51</v>
      </c>
      <c r="K23" s="6"/>
      <c r="M23" s="8" t="s">
        <v>17</v>
      </c>
      <c r="N23" s="1">
        <v>20</v>
      </c>
      <c r="O23" s="6">
        <v>14.27</v>
      </c>
      <c r="P23" s="6">
        <f>O23*N23</f>
        <v>285.39999999999998</v>
      </c>
      <c r="Q23" s="6"/>
      <c r="S23" s="8" t="s">
        <v>17</v>
      </c>
      <c r="T23" s="1">
        <v>0</v>
      </c>
      <c r="U23" s="6">
        <v>14.27</v>
      </c>
      <c r="V23" s="6">
        <f>U23*T23</f>
        <v>0</v>
      </c>
      <c r="W23" s="6"/>
    </row>
    <row r="24" spans="1:23" s="1" customFormat="1" x14ac:dyDescent="0.25">
      <c r="A24" s="8" t="s">
        <v>18</v>
      </c>
      <c r="B24" s="1">
        <v>34</v>
      </c>
      <c r="C24" s="6">
        <v>21.46</v>
      </c>
      <c r="D24" s="6">
        <f>C24*B24</f>
        <v>729.64</v>
      </c>
      <c r="E24" s="6"/>
      <c r="G24" s="8" t="s">
        <v>18</v>
      </c>
      <c r="H24" s="7">
        <v>18</v>
      </c>
      <c r="I24" s="6">
        <v>21.46</v>
      </c>
      <c r="J24" s="6">
        <f>I24*H24</f>
        <v>386.28000000000003</v>
      </c>
      <c r="K24" s="6"/>
      <c r="M24" s="8" t="s">
        <v>18</v>
      </c>
      <c r="N24" s="1">
        <v>156</v>
      </c>
      <c r="O24" s="6">
        <v>21.46</v>
      </c>
      <c r="P24" s="6">
        <f>O24*N24</f>
        <v>3347.76</v>
      </c>
      <c r="Q24" s="6"/>
      <c r="S24" s="8" t="s">
        <v>18</v>
      </c>
      <c r="T24" s="1">
        <v>3</v>
      </c>
      <c r="U24" s="6">
        <v>21.46</v>
      </c>
      <c r="V24" s="6">
        <f>U24*T24</f>
        <v>64.38</v>
      </c>
      <c r="W24" s="6"/>
    </row>
    <row r="25" spans="1:23" s="1" customFormat="1" ht="15.75" x14ac:dyDescent="0.25">
      <c r="A25" s="5" t="s">
        <v>13</v>
      </c>
      <c r="C25" s="6"/>
      <c r="D25" s="11">
        <f>SUM(D22:D24)</f>
        <v>894.08999999999992</v>
      </c>
      <c r="E25" s="10"/>
      <c r="G25" s="5" t="s">
        <v>13</v>
      </c>
      <c r="I25" s="6"/>
      <c r="J25" s="11">
        <f>SUM(J22:J24)</f>
        <v>624.99</v>
      </c>
      <c r="K25" s="10"/>
      <c r="M25" s="5" t="s">
        <v>13</v>
      </c>
      <c r="O25" s="6"/>
      <c r="P25" s="11">
        <f>SUM(P22:P24)</f>
        <v>3879.21</v>
      </c>
      <c r="Q25" s="10"/>
      <c r="S25" s="5" t="s">
        <v>13</v>
      </c>
      <c r="U25" s="6"/>
      <c r="V25" s="11">
        <f>SUM(V22:V24)</f>
        <v>71.03</v>
      </c>
      <c r="W25" s="10"/>
    </row>
    <row r="26" spans="1:23" s="1" customFormat="1" x14ac:dyDescent="0.25">
      <c r="A26" s="8"/>
      <c r="C26" s="6"/>
      <c r="D26" s="6"/>
      <c r="E26" s="10">
        <f>D25*12</f>
        <v>10729.079999999998</v>
      </c>
      <c r="I26" s="6"/>
      <c r="J26" s="6"/>
      <c r="K26" s="10">
        <f>J25*12</f>
        <v>7499.88</v>
      </c>
      <c r="O26" s="6"/>
      <c r="P26" s="6"/>
      <c r="Q26" s="10">
        <f>P25*12</f>
        <v>46550.520000000004</v>
      </c>
      <c r="U26" s="6"/>
      <c r="V26" s="6"/>
      <c r="W26" s="10">
        <f>V25*12</f>
        <v>852.36</v>
      </c>
    </row>
    <row r="27" spans="1:23" s="1" customFormat="1" x14ac:dyDescent="0.25">
      <c r="A27" s="8" t="s">
        <v>29</v>
      </c>
      <c r="B27" s="6">
        <f>SUM(E26:W26)</f>
        <v>65631.839999999997</v>
      </c>
      <c r="I27" s="6"/>
      <c r="J27" s="6"/>
      <c r="K27" s="6"/>
    </row>
    <row r="28" spans="1:23" s="1" customFormat="1" x14ac:dyDescent="0.25"/>
    <row r="29" spans="1:23" s="13" customFormat="1" x14ac:dyDescent="0.25"/>
    <row r="30" spans="1:23" s="13" customFormat="1" x14ac:dyDescent="0.25"/>
    <row r="31" spans="1:23" s="13" customFormat="1" ht="23.25" x14ac:dyDescent="0.35">
      <c r="A31" s="60" t="s">
        <v>35</v>
      </c>
      <c r="B31" s="60"/>
      <c r="C31" s="60"/>
      <c r="D31" s="60"/>
      <c r="E31" s="60"/>
      <c r="G31" s="60" t="s">
        <v>36</v>
      </c>
      <c r="H31" s="60"/>
      <c r="I31" s="60"/>
      <c r="J31" s="60"/>
      <c r="K31" s="60"/>
    </row>
    <row r="32" spans="1:23" s="13" customFormat="1" ht="15.75" x14ac:dyDescent="0.25">
      <c r="A32" s="14" t="s">
        <v>15</v>
      </c>
      <c r="B32" s="14" t="s">
        <v>14</v>
      </c>
      <c r="C32" s="14" t="s">
        <v>19</v>
      </c>
      <c r="D32" s="14" t="s">
        <v>27</v>
      </c>
      <c r="E32" s="14" t="s">
        <v>28</v>
      </c>
      <c r="G32" s="14" t="s">
        <v>15</v>
      </c>
      <c r="H32" s="14" t="s">
        <v>14</v>
      </c>
      <c r="I32" s="14" t="s">
        <v>19</v>
      </c>
      <c r="J32" s="14" t="s">
        <v>27</v>
      </c>
      <c r="K32" s="14" t="s">
        <v>28</v>
      </c>
    </row>
    <row r="33" spans="1:11" s="13" customFormat="1" ht="15.75" x14ac:dyDescent="0.25">
      <c r="A33" s="15" t="s">
        <v>16</v>
      </c>
      <c r="B33" s="13">
        <v>1</v>
      </c>
      <c r="C33" s="16">
        <v>594.66</v>
      </c>
      <c r="D33" s="16">
        <f>C33*B33</f>
        <v>594.66</v>
      </c>
      <c r="E33" s="16"/>
      <c r="G33" s="15" t="s">
        <v>16</v>
      </c>
      <c r="H33" s="13">
        <v>39</v>
      </c>
      <c r="I33" s="16">
        <v>531.07000000000005</v>
      </c>
      <c r="J33" s="16">
        <f>I33*H33</f>
        <v>20711.730000000003</v>
      </c>
      <c r="K33" s="16"/>
    </row>
    <row r="34" spans="1:11" s="13" customFormat="1" x14ac:dyDescent="0.25">
      <c r="A34" s="17" t="s">
        <v>17</v>
      </c>
      <c r="B34" s="13">
        <v>7</v>
      </c>
      <c r="C34" s="16">
        <v>1336.11</v>
      </c>
      <c r="D34" s="16">
        <f>C34*B34</f>
        <v>9352.7699999999986</v>
      </c>
      <c r="E34" s="16"/>
      <c r="G34" s="17" t="s">
        <v>17</v>
      </c>
      <c r="H34" s="13">
        <v>23</v>
      </c>
      <c r="I34" s="16">
        <v>1193.03</v>
      </c>
      <c r="J34" s="16">
        <f>I34*H34</f>
        <v>27439.69</v>
      </c>
      <c r="K34" s="16"/>
    </row>
    <row r="35" spans="1:11" s="13" customFormat="1" x14ac:dyDescent="0.25">
      <c r="A35" s="17" t="s">
        <v>18</v>
      </c>
      <c r="B35" s="13">
        <v>1</v>
      </c>
      <c r="C35" s="16">
        <v>1662.36</v>
      </c>
      <c r="D35" s="16">
        <f>C35*B35</f>
        <v>1662.36</v>
      </c>
      <c r="E35" s="16"/>
      <c r="G35" s="17" t="s">
        <v>18</v>
      </c>
      <c r="H35" s="13">
        <v>34</v>
      </c>
      <c r="I35" s="16">
        <v>1484.3</v>
      </c>
      <c r="J35" s="16">
        <f>I35*H35</f>
        <v>50466.2</v>
      </c>
      <c r="K35" s="16"/>
    </row>
    <row r="36" spans="1:11" s="13" customFormat="1" ht="15.75" x14ac:dyDescent="0.25">
      <c r="A36" s="15" t="s">
        <v>13</v>
      </c>
      <c r="C36" s="16"/>
      <c r="D36" s="18">
        <f>SUM(D33:D35)</f>
        <v>11609.789999999999</v>
      </c>
      <c r="E36" s="19"/>
      <c r="G36" s="15" t="s">
        <v>13</v>
      </c>
      <c r="I36" s="16"/>
      <c r="J36" s="18">
        <f>SUM(J33:J35)</f>
        <v>98617.62</v>
      </c>
      <c r="K36" s="19"/>
    </row>
    <row r="37" spans="1:11" s="13" customFormat="1" x14ac:dyDescent="0.25">
      <c r="A37" s="17"/>
      <c r="C37" s="16"/>
      <c r="D37" s="16"/>
      <c r="E37" s="19">
        <f>D36*12</f>
        <v>139317.47999999998</v>
      </c>
      <c r="I37" s="16"/>
      <c r="J37" s="16"/>
      <c r="K37" s="19">
        <f>J36*12</f>
        <v>1183411.44</v>
      </c>
    </row>
    <row r="38" spans="1:11" s="13" customFormat="1" x14ac:dyDescent="0.25">
      <c r="A38" s="17" t="s">
        <v>29</v>
      </c>
      <c r="B38" s="16">
        <f>SUM(E37:K37)</f>
        <v>1322728.92</v>
      </c>
    </row>
    <row r="39" spans="1:11" s="13" customFormat="1" x14ac:dyDescent="0.25"/>
    <row r="40" spans="1:11" s="13" customFormat="1" x14ac:dyDescent="0.25"/>
    <row r="41" spans="1:11" s="13" customFormat="1" ht="15.75" x14ac:dyDescent="0.25">
      <c r="A41" s="14" t="s">
        <v>20</v>
      </c>
      <c r="B41" s="14" t="s">
        <v>14</v>
      </c>
      <c r="C41" s="14" t="s">
        <v>19</v>
      </c>
      <c r="D41" s="14" t="s">
        <v>27</v>
      </c>
      <c r="E41" s="14" t="s">
        <v>28</v>
      </c>
      <c r="G41" s="14" t="s">
        <v>20</v>
      </c>
      <c r="H41" s="14" t="s">
        <v>14</v>
      </c>
      <c r="I41" s="14" t="s">
        <v>19</v>
      </c>
      <c r="J41" s="14" t="s">
        <v>27</v>
      </c>
      <c r="K41" s="14" t="s">
        <v>28</v>
      </c>
    </row>
    <row r="42" spans="1:11" s="13" customFormat="1" ht="15.75" x14ac:dyDescent="0.25">
      <c r="A42" s="15" t="s">
        <v>16</v>
      </c>
      <c r="B42" s="13">
        <v>1</v>
      </c>
      <c r="C42" s="16">
        <v>41.73</v>
      </c>
      <c r="D42" s="16">
        <f>C42*B42</f>
        <v>41.73</v>
      </c>
      <c r="E42" s="16"/>
      <c r="G42" s="15" t="s">
        <v>16</v>
      </c>
      <c r="H42" s="13">
        <v>39</v>
      </c>
      <c r="I42" s="16">
        <v>41.73</v>
      </c>
      <c r="J42" s="16">
        <f>I42*H42</f>
        <v>1627.4699999999998</v>
      </c>
      <c r="K42" s="16"/>
    </row>
    <row r="43" spans="1:11" s="13" customFormat="1" x14ac:dyDescent="0.25">
      <c r="A43" s="17" t="s">
        <v>17</v>
      </c>
      <c r="B43" s="13">
        <v>7</v>
      </c>
      <c r="C43" s="16">
        <v>79.599999999999994</v>
      </c>
      <c r="D43" s="16">
        <f>C43*B43</f>
        <v>557.19999999999993</v>
      </c>
      <c r="E43" s="16"/>
      <c r="G43" s="17" t="s">
        <v>17</v>
      </c>
      <c r="H43" s="13">
        <v>23</v>
      </c>
      <c r="I43" s="16">
        <v>79.599999999999994</v>
      </c>
      <c r="J43" s="16">
        <f>I43*H43</f>
        <v>1830.8</v>
      </c>
      <c r="K43" s="16"/>
    </row>
    <row r="44" spans="1:11" s="13" customFormat="1" x14ac:dyDescent="0.25">
      <c r="A44" s="17" t="s">
        <v>18</v>
      </c>
      <c r="B44" s="13">
        <v>1</v>
      </c>
      <c r="C44" s="16">
        <v>146.37</v>
      </c>
      <c r="D44" s="16">
        <f>C44*B44</f>
        <v>146.37</v>
      </c>
      <c r="E44" s="16"/>
      <c r="G44" s="17" t="s">
        <v>18</v>
      </c>
      <c r="H44" s="13">
        <v>34</v>
      </c>
      <c r="I44" s="16">
        <v>146.37</v>
      </c>
      <c r="J44" s="16">
        <f>I44*H44</f>
        <v>4976.58</v>
      </c>
      <c r="K44" s="16"/>
    </row>
    <row r="45" spans="1:11" s="13" customFormat="1" ht="15.75" x14ac:dyDescent="0.25">
      <c r="A45" s="15" t="s">
        <v>13</v>
      </c>
      <c r="C45" s="16"/>
      <c r="D45" s="18">
        <f>SUM(D42:D44)</f>
        <v>745.3</v>
      </c>
      <c r="E45" s="19"/>
      <c r="G45" s="15" t="s">
        <v>13</v>
      </c>
      <c r="I45" s="16"/>
      <c r="J45" s="18">
        <f>SUM(J42:J44)</f>
        <v>8434.8499999999985</v>
      </c>
      <c r="K45" s="19"/>
    </row>
    <row r="46" spans="1:11" s="13" customFormat="1" x14ac:dyDescent="0.25">
      <c r="A46" s="17"/>
      <c r="C46" s="16"/>
      <c r="D46" s="16"/>
      <c r="E46" s="19">
        <f>D45*12</f>
        <v>8943.5999999999985</v>
      </c>
      <c r="I46" s="16"/>
      <c r="J46" s="16"/>
      <c r="K46" s="19">
        <f>J45*12</f>
        <v>101218.19999999998</v>
      </c>
    </row>
    <row r="47" spans="1:11" s="13" customFormat="1" x14ac:dyDescent="0.25">
      <c r="A47" s="17" t="s">
        <v>29</v>
      </c>
      <c r="B47" s="16">
        <f>SUM(E46:K46)</f>
        <v>110161.79999999999</v>
      </c>
    </row>
    <row r="48" spans="1:11" s="13" customFormat="1" x14ac:dyDescent="0.25"/>
    <row r="49" spans="1:11" s="13" customFormat="1" x14ac:dyDescent="0.25"/>
    <row r="50" spans="1:11" s="13" customFormat="1" ht="15.75" x14ac:dyDescent="0.25">
      <c r="A50" s="14" t="s">
        <v>37</v>
      </c>
      <c r="B50" s="14" t="s">
        <v>14</v>
      </c>
      <c r="C50" s="14" t="s">
        <v>19</v>
      </c>
      <c r="D50" s="14" t="s">
        <v>27</v>
      </c>
      <c r="E50" s="14" t="s">
        <v>28</v>
      </c>
      <c r="G50" s="14" t="s">
        <v>37</v>
      </c>
      <c r="H50" s="14" t="s">
        <v>14</v>
      </c>
      <c r="I50" s="14" t="s">
        <v>19</v>
      </c>
      <c r="J50" s="14" t="s">
        <v>27</v>
      </c>
      <c r="K50" s="14" t="s">
        <v>28</v>
      </c>
    </row>
    <row r="51" spans="1:11" s="13" customFormat="1" ht="15.75" x14ac:dyDescent="0.25">
      <c r="A51" s="15" t="s">
        <v>16</v>
      </c>
      <c r="B51" s="13">
        <v>1</v>
      </c>
      <c r="C51" s="16">
        <v>5.92</v>
      </c>
      <c r="D51" s="16">
        <f>C51*B51</f>
        <v>5.92</v>
      </c>
      <c r="E51" s="16"/>
      <c r="G51" s="15" t="s">
        <v>16</v>
      </c>
      <c r="H51" s="13">
        <v>39</v>
      </c>
      <c r="I51" s="16">
        <v>5.92</v>
      </c>
      <c r="J51" s="16">
        <f>I51*H51</f>
        <v>230.88</v>
      </c>
      <c r="K51" s="16"/>
    </row>
    <row r="52" spans="1:11" s="13" customFormat="1" x14ac:dyDescent="0.25">
      <c r="A52" s="17" t="s">
        <v>17</v>
      </c>
      <c r="B52" s="13">
        <v>7</v>
      </c>
      <c r="C52" s="16">
        <v>12.75</v>
      </c>
      <c r="D52" s="16">
        <f>C52*B52</f>
        <v>89.25</v>
      </c>
      <c r="E52" s="16"/>
      <c r="G52" s="17" t="s">
        <v>17</v>
      </c>
      <c r="H52" s="13">
        <v>23</v>
      </c>
      <c r="I52" s="16">
        <v>12.75</v>
      </c>
      <c r="J52" s="16">
        <f>I52*H52</f>
        <v>293.25</v>
      </c>
      <c r="K52" s="16"/>
    </row>
    <row r="53" spans="1:11" s="13" customFormat="1" x14ac:dyDescent="0.25">
      <c r="A53" s="17" t="s">
        <v>18</v>
      </c>
      <c r="B53" s="13">
        <v>1</v>
      </c>
      <c r="C53" s="16">
        <v>19.170000000000002</v>
      </c>
      <c r="D53" s="16">
        <f>C53*B53</f>
        <v>19.170000000000002</v>
      </c>
      <c r="E53" s="16"/>
      <c r="G53" s="17" t="s">
        <v>18</v>
      </c>
      <c r="H53" s="13">
        <v>34</v>
      </c>
      <c r="I53" s="16">
        <v>19.170000000000002</v>
      </c>
      <c r="J53" s="16">
        <f>I53*H53</f>
        <v>651.78000000000009</v>
      </c>
      <c r="K53" s="16"/>
    </row>
    <row r="54" spans="1:11" s="13" customFormat="1" ht="15.75" x14ac:dyDescent="0.25">
      <c r="A54" s="15" t="s">
        <v>13</v>
      </c>
      <c r="C54" s="16"/>
      <c r="D54" s="18">
        <f>SUM(D51:D53)</f>
        <v>114.34</v>
      </c>
      <c r="E54" s="19"/>
      <c r="G54" s="15" t="s">
        <v>13</v>
      </c>
      <c r="I54" s="16"/>
      <c r="J54" s="18">
        <f>SUM(J51:J53)</f>
        <v>1175.9100000000001</v>
      </c>
      <c r="K54" s="19"/>
    </row>
    <row r="55" spans="1:11" s="13" customFormat="1" x14ac:dyDescent="0.25">
      <c r="A55" s="17"/>
      <c r="C55" s="16"/>
      <c r="D55" s="16"/>
      <c r="E55" s="19">
        <f>D54*12</f>
        <v>1372.08</v>
      </c>
      <c r="I55" s="16"/>
      <c r="J55" s="16"/>
      <c r="K55" s="19">
        <f>J54*12</f>
        <v>14110.920000000002</v>
      </c>
    </row>
    <row r="56" spans="1:11" s="13" customFormat="1" x14ac:dyDescent="0.25">
      <c r="A56" s="17" t="s">
        <v>29</v>
      </c>
      <c r="B56" s="16">
        <f>SUM(E55:K55)</f>
        <v>15483.000000000002</v>
      </c>
    </row>
    <row r="57" spans="1:11" s="13" customFormat="1" x14ac:dyDescent="0.25"/>
  </sheetData>
  <mergeCells count="7">
    <mergeCell ref="M2:Q2"/>
    <mergeCell ref="S2:W2"/>
    <mergeCell ref="A31:E31"/>
    <mergeCell ref="G31:K31"/>
    <mergeCell ref="A1:E1"/>
    <mergeCell ref="A2:E2"/>
    <mergeCell ref="G2:K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2BB4CD-83EF-4561-BE82-254F7C37CC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Vision Claims Paid Template</vt:lpstr>
      <vt:lpstr>Enrollment Template</vt:lpstr>
      <vt:lpstr>MACRO</vt:lpstr>
      <vt:lpstr>CLM25</vt:lpstr>
      <vt:lpstr>CS</vt:lpstr>
      <vt:lpstr>MDCLMS</vt:lpstr>
      <vt:lpstr>RXCLMS</vt:lpstr>
      <vt:lpstr>VSCLMS</vt:lpstr>
      <vt:lpstr>Medical Claims</vt:lpstr>
      <vt:lpstr>Medical Count</vt:lpstr>
      <vt:lpstr>Medical Per Emp</vt:lpstr>
      <vt:lpstr>Medical Per Life</vt:lpstr>
      <vt:lpstr>Medical Unit Cost</vt:lpstr>
      <vt:lpstr>Rx Claims</vt:lpstr>
      <vt:lpstr>Rx Per Emp</vt:lpstr>
      <vt:lpstr>Rx Per Life</vt:lpstr>
      <vt:lpstr>Vision Claims</vt:lpstr>
      <vt:lpstr>Vision Count</vt:lpstr>
      <vt:lpstr>Vision Per Emp</vt:lpstr>
      <vt:lpstr>Vision Per Life</vt:lpstr>
      <vt:lpstr>Vision Unit Cost</vt:lpstr>
      <vt:lpstr>Enrollment</vt:lpstr>
      <vt:lpstr>Dashboard</vt:lpstr>
      <vt:lpstr>Dashboard Graphs</vt:lpstr>
      <vt:lpstr>Medical Graphs</vt:lpstr>
      <vt:lpstr>Rx Graphs</vt:lpstr>
      <vt:lpstr>Vision Graphs</vt:lpstr>
      <vt:lpstr>Rate Renewal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Kabeity</dc:creator>
  <cp:lastModifiedBy>Seth Kasten</cp:lastModifiedBy>
  <cp:lastPrinted>2019-12-03T18:21:38Z</cp:lastPrinted>
  <dcterms:created xsi:type="dcterms:W3CDTF">2019-05-30T13:47:04Z</dcterms:created>
  <dcterms:modified xsi:type="dcterms:W3CDTF">2021-10-29T20:58:05Z</dcterms:modified>
</cp:coreProperties>
</file>